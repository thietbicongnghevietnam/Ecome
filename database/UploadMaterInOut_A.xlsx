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70K6885\Downloads\test ACC\"/>
    </mc:Choice>
  </mc:AlternateContent>
  <xr:revisionPtr revIDLastSave="0" documentId="13_ncr:1_{1415D268-D284-4B9D-9A51-AFE8489698E2}" xr6:coauthVersionLast="47" xr6:coauthVersionMax="47" xr10:uidLastSave="{00000000-0000-0000-0000-000000000000}"/>
  <bookViews>
    <workbookView xWindow="-120" yWindow="-120" windowWidth="29040" windowHeight="15720" xr2:uid="{00000000-000D-0000-FFFF-FFFF00000000}"/>
  </bookViews>
  <sheets>
    <sheet name="Sheet1" sheetId="1" r:id="rId1"/>
    <sheet name="Master(Ko Xóa)" sheetId="2" r:id="rId2"/>
  </sheets>
  <definedNames>
    <definedName name="_xlnm._FilterDatabase" localSheetId="1" hidden="1">'Master(Ko Xóa)'!$A$1:$H$50</definedName>
  </definedName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 l="1"/>
  <c r="O3" i="2"/>
  <c r="O2" i="2"/>
  <c r="K49" i="2"/>
  <c r="K47" i="2"/>
  <c r="K45" i="2"/>
  <c r="K43" i="2"/>
  <c r="K41" i="2"/>
  <c r="K39" i="2"/>
  <c r="K38" i="2"/>
  <c r="K36" i="2"/>
  <c r="K34" i="2"/>
  <c r="K32" i="2"/>
  <c r="K30" i="2"/>
  <c r="K28" i="2"/>
  <c r="K26" i="2"/>
  <c r="K24" i="2"/>
  <c r="K22" i="2"/>
  <c r="K20" i="2"/>
  <c r="K18" i="2"/>
  <c r="K16" i="2"/>
  <c r="K14" i="2"/>
  <c r="K12" i="2"/>
  <c r="K10" i="2"/>
  <c r="K8" i="2"/>
  <c r="K6" i="2"/>
  <c r="K4" i="2"/>
  <c r="K2" i="2"/>
  <c r="J50" i="2"/>
  <c r="I50" i="2"/>
  <c r="J48" i="2"/>
  <c r="I48" i="2"/>
  <c r="J46" i="2"/>
  <c r="I46" i="2"/>
  <c r="J44" i="2"/>
  <c r="I44" i="2"/>
  <c r="J42" i="2"/>
  <c r="I42" i="2"/>
  <c r="J40" i="2"/>
  <c r="I40" i="2"/>
  <c r="J37" i="2"/>
  <c r="I37" i="2"/>
  <c r="J35" i="2"/>
  <c r="I35" i="2"/>
  <c r="J33" i="2"/>
  <c r="I33" i="2"/>
  <c r="J31" i="2"/>
  <c r="I31" i="2"/>
  <c r="J29" i="2"/>
  <c r="I29" i="2"/>
  <c r="J27" i="2"/>
  <c r="I27" i="2"/>
  <c r="J25" i="2"/>
  <c r="I25" i="2"/>
  <c r="J23" i="2"/>
  <c r="I23" i="2"/>
  <c r="J21" i="2"/>
  <c r="I21" i="2"/>
  <c r="J19" i="2"/>
  <c r="I19" i="2"/>
  <c r="J17" i="2"/>
  <c r="I17" i="2"/>
  <c r="J15" i="2"/>
  <c r="I15" i="2"/>
  <c r="J13" i="2"/>
  <c r="I13" i="2"/>
  <c r="J11" i="2"/>
  <c r="I11" i="2"/>
  <c r="J9" i="2"/>
  <c r="I9" i="2"/>
  <c r="J7" i="2"/>
  <c r="I7" i="2"/>
  <c r="J5" i="2"/>
  <c r="I5"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NGUYEN THI_Dao</author>
    <author>NGUYEN NHU_Minh</author>
  </authors>
  <commentList>
    <comment ref="A1" authorId="0" shapeId="0" xr:uid="{00000000-0006-0000-0000-000001000000}">
      <text>
        <r>
          <rPr>
            <sz val="9"/>
            <color indexed="81"/>
            <rFont val="Tahoma"/>
            <family val="2"/>
          </rPr>
          <t xml:space="preserve">B1: Chọn TypeRQ theo droplist.
B2:Ctrl +D copy tớ dòng tiếp theo
</t>
        </r>
      </text>
    </comment>
    <comment ref="C1" authorId="1" shapeId="0" xr:uid="{A8EC6788-2305-4CEE-BB97-0FE3B4E58EC2}">
      <text>
        <r>
          <rPr>
            <b/>
            <sz val="9"/>
            <color indexed="81"/>
            <rFont val="Tahoma"/>
            <charset val="1"/>
          </rPr>
          <t>NGUYEN NHU_Minh:</t>
        </r>
        <r>
          <rPr>
            <sz val="9"/>
            <color indexed="81"/>
            <rFont val="Tahoma"/>
            <charset val="1"/>
          </rPr>
          <t xml:space="preserve">
Bộ phận tự điền</t>
        </r>
      </text>
    </comment>
    <comment ref="F1" authorId="1" shapeId="0" xr:uid="{9BF479D2-CB8A-481D-AF24-AF1C5700A377}">
      <text>
        <r>
          <rPr>
            <b/>
            <sz val="9"/>
            <color indexed="81"/>
            <rFont val="Tahoma"/>
            <charset val="1"/>
          </rPr>
          <t>NGUYEN NHU_Minh:</t>
        </r>
        <r>
          <rPr>
            <sz val="9"/>
            <color indexed="81"/>
            <rFont val="Tahoma"/>
            <charset val="1"/>
          </rPr>
          <t xml:space="preserve">
Bộ phận bắt buộc phải điền</t>
        </r>
      </text>
    </comment>
    <comment ref="L1" authorId="1" shapeId="0" xr:uid="{6C093821-3E40-4812-A057-7C64E5C662EA}">
      <text>
        <r>
          <rPr>
            <b/>
            <sz val="9"/>
            <color indexed="81"/>
            <rFont val="Tahoma"/>
            <charset val="1"/>
          </rPr>
          <t>NGUYEN NHU_Minh: Bộ phận tự điền</t>
        </r>
      </text>
    </comment>
    <comment ref="R1" authorId="0" shapeId="0" xr:uid="{00000000-0006-0000-0000-000002000000}">
      <text>
        <r>
          <rPr>
            <sz val="9"/>
            <color indexed="81"/>
            <rFont val="Tahoma"/>
            <family val="2"/>
          </rPr>
          <t xml:space="preserve">Input RQ cần RQ Reset
</t>
        </r>
      </text>
    </comment>
    <comment ref="H2" authorId="0" shapeId="0" xr:uid="{00000000-0006-0000-0000-000003000000}">
      <text>
        <r>
          <rPr>
            <sz val="9"/>
            <color indexed="81"/>
            <rFont val="Tahoma"/>
            <family val="2"/>
          </rPr>
          <t>B1: Chọn MvType sẽ lọc theo TypeRQ.</t>
        </r>
        <r>
          <rPr>
            <b/>
            <sz val="9"/>
            <color indexed="81"/>
            <rFont val="Tahoma"/>
            <family val="2"/>
          </rPr>
          <t xml:space="preserve">
</t>
        </r>
      </text>
    </comment>
  </commentList>
</comments>
</file>

<file path=xl/sharedStrings.xml><?xml version="1.0" encoding="utf-8"?>
<sst xmlns="http://schemas.openxmlformats.org/spreadsheetml/2006/main" count="183" uniqueCount="107">
  <si>
    <t>Sloc</t>
  </si>
  <si>
    <t>Material</t>
  </si>
  <si>
    <t>TypeRQ</t>
  </si>
  <si>
    <t>Mvtype</t>
  </si>
  <si>
    <t>Plant</t>
  </si>
  <si>
    <t>CostCenter</t>
  </si>
  <si>
    <t>Qty</t>
  </si>
  <si>
    <t>1GZB10</t>
  </si>
  <si>
    <t>VendorCode</t>
  </si>
  <si>
    <t>Note</t>
  </si>
  <si>
    <t>ActualPrice</t>
  </si>
  <si>
    <t>MVContent</t>
  </si>
  <si>
    <t>RQ_Reset</t>
  </si>
  <si>
    <t>In</t>
  </si>
  <si>
    <t>K1KY03A00030</t>
  </si>
  <si>
    <t>V501</t>
  </si>
  <si>
    <t>VA005</t>
  </si>
  <si>
    <t>CountryofOrigin</t>
  </si>
  <si>
    <t>ItemDecription</t>
  </si>
  <si>
    <t>Panasonic SVN</t>
  </si>
  <si>
    <t>ECQE6333RKF-EN</t>
  </si>
  <si>
    <t>TypeID</t>
  </si>
  <si>
    <t>MVTypeName</t>
  </si>
  <si>
    <t>Decription</t>
  </si>
  <si>
    <t>ContentMV</t>
  </si>
  <si>
    <t>Other issue materials201</t>
  </si>
  <si>
    <t>Xuất/Nhập NVL cho mục đích như Gửi hàng mẫu, làm JIG, check ROSH, phân tích, check Assembly,…</t>
  </si>
  <si>
    <t>Out</t>
  </si>
  <si>
    <t>Other issue materials202</t>
  </si>
  <si>
    <t>Return materials291</t>
  </si>
  <si>
    <t>Hàng trả lại vendor (Issue debit note)</t>
  </si>
  <si>
    <t>Return materials292</t>
  </si>
  <si>
    <t>Material shortage201</t>
  </si>
  <si>
    <t>Vendor giao hàng thiếu (Issue debit note)</t>
  </si>
  <si>
    <t>Material shortage202</t>
  </si>
  <si>
    <t>Claim scrap material201</t>
  </si>
  <si>
    <t>Hàng mua từ vendor nhưng NG không trả lại cho vendor, scrap tại PSNV (Issue debit note)</t>
  </si>
  <si>
    <t>Claim scrap material202</t>
  </si>
  <si>
    <t>Claim Scrap Material (Claim transportation compa</t>
  </si>
  <si>
    <t>mpa</t>
  </si>
  <si>
    <t>Hàng mua từ vendor nhưng NG do bên vận chuyển, đòi tiền bên vận chuyển</t>
  </si>
  <si>
    <t>Disposition551</t>
  </si>
  <si>
    <t>Hàng NVL hủy do PSNV chịu chi phí</t>
  </si>
  <si>
    <t>Disposition552</t>
  </si>
  <si>
    <t>Claim scrap halb201</t>
  </si>
  <si>
    <t>Hàng halb bị hỏng do NVL mua từ vendor bị hỏng và scrap tại PSNV (Issue debit note)</t>
  </si>
  <si>
    <t>Claim scrap halb202</t>
  </si>
  <si>
    <t>Claim scrap deadstock201</t>
  </si>
  <si>
    <t>Hàng NVL mua của 1 vendor và không dùng nữa vendor khác chịu chi phí và hủy tại PSNV</t>
  </si>
  <si>
    <t>Claim scrap deadstock202</t>
  </si>
  <si>
    <t>Issue for lending201</t>
  </si>
  <si>
    <t>Xuất HALB cho vendor, sau đó, hàng trả về PSNV và đòi tiền vendor theo Claim scrap half (hợp đồng Lending và General Sanction)</t>
  </si>
  <si>
    <t>Issue for lending202</t>
  </si>
  <si>
    <t>Sale deadstock201</t>
  </si>
  <si>
    <t>Hàng NVL mua của 1 vendor và không dùng nữa nên xuất bán cho 1 vendor khác</t>
  </si>
  <si>
    <t>Sale deadstock202</t>
  </si>
  <si>
    <t>Compensation201</t>
  </si>
  <si>
    <t>Hàng NVL mua về nhưng không dùng do sai thiết kế, vendor chịu chi phí, hủy tại PSNV</t>
  </si>
  <si>
    <t>Compensation202</t>
  </si>
  <si>
    <t>Outsourcing201</t>
  </si>
  <si>
    <t>Hàng NVL issue out dùng cho outsourcing</t>
  </si>
  <si>
    <t>Outsourcing202</t>
  </si>
  <si>
    <t>Claim insurance201</t>
  </si>
  <si>
    <t>Hàng NVL bị hỏng trong quá trình vận chuyển và được bồi thường bảo hiểm</t>
  </si>
  <si>
    <t>Claim insurance202</t>
  </si>
  <si>
    <t>Issue out for rework201</t>
  </si>
  <si>
    <t>Hàng NVL issue out để reworks (Issue Debitnote)</t>
  </si>
  <si>
    <t>Issue out for rework202</t>
  </si>
  <si>
    <t>Issue Out For Rework (Not issue Debit Note)201</t>
  </si>
  <si>
    <t>Hàng NVL issue out cho reworks (không Issue Debitnote), hủy tại PSNV</t>
  </si>
  <si>
    <t>Issue Out For Rework (Not issue Debit Note)202</t>
  </si>
  <si>
    <t>Issue sub-materials201</t>
  </si>
  <si>
    <t>Issue NVL phụ cho sản xuất thành phẩm</t>
  </si>
  <si>
    <t>Issue sub-materials202</t>
  </si>
  <si>
    <t>Issue Sub-Materials201</t>
  </si>
  <si>
    <t>Post difference end of month701</t>
  </si>
  <si>
    <t>Post difference giữa tồn kho thực tế và hệ thống</t>
  </si>
  <si>
    <t>Post difference end of month702</t>
  </si>
  <si>
    <t>Post difference outsourcing701</t>
  </si>
  <si>
    <t>Post difference giữa tồn kho thực tế và hệ thống của kho nhà thầu phụ</t>
  </si>
  <si>
    <t>Post difference outsourcing702</t>
  </si>
  <si>
    <t>Production rejects555</t>
  </si>
  <si>
    <t>Hàng hỏng do sản xuất</t>
  </si>
  <si>
    <t>Production rejects556</t>
  </si>
  <si>
    <t>Production rejects for outsourcing555</t>
  </si>
  <si>
    <t>Hàng hỏng do sản xuất của kho nhà thầu phụ</t>
  </si>
  <si>
    <t>Production rejects for outsourcing556</t>
  </si>
  <si>
    <t>Issue for investigation201</t>
  </si>
  <si>
    <t>Gửi hàng NVL cho vendor để phân tích không issue debit note</t>
  </si>
  <si>
    <t>Issue for investigation202</t>
  </si>
  <si>
    <t>Other issue201</t>
  </si>
  <si>
    <t>Xuất bù cho việc xuất nhầm hàng cho customers…</t>
  </si>
  <si>
    <t>Other issue202</t>
  </si>
  <si>
    <t>Claim investigation halb201</t>
  </si>
  <si>
    <t>Claim vendor cho hàng halb gửi cho khách hàng kiểm tra do vendor thay đổi NVL, NVL mua của vendor bị NG làm hỏng cả hàng Halb của PSNV sau đó gửi cả hàng halb cho vendor phân tích và issue debit note đòi tiền cho tất cả hàng Halb đó</t>
  </si>
  <si>
    <t>Claim investigation halb202</t>
  </si>
  <si>
    <t>Scrap mixing part559</t>
  </si>
  <si>
    <t>Scrap mixing part, chỉ dùng cho SMT</t>
  </si>
  <si>
    <t>Scrap mixing part560</t>
  </si>
  <si>
    <t>Roh_Halb</t>
  </si>
  <si>
    <t>Halb</t>
  </si>
  <si>
    <t>STprice</t>
  </si>
  <si>
    <t>NameCode</t>
  </si>
  <si>
    <t>Reason</t>
  </si>
  <si>
    <t>Namecost_costcentor</t>
  </si>
  <si>
    <t>khong bat buoc</t>
  </si>
  <si>
    <t>RQA-IT-0126-21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</si>
</sst>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FF0000"/>
      <name val="Calibri"/>
      <family val="2"/>
      <scheme val="minor"/>
    </font>
    <font>
      <b/>
      <sz val="11"/>
      <color theme="1"/>
      <name val="Calibri"/>
      <family val="2"/>
      <scheme val="minor"/>
    </font>
    <font>
      <sz val="9"/>
      <color indexed="81"/>
      <name val="Tahoma"/>
      <family val="2"/>
    </font>
    <font>
      <b/>
      <sz val="9"/>
      <color indexed="81"/>
      <name val="Tahoma"/>
      <family val="2"/>
    </font>
    <font>
      <b/>
      <sz val="9"/>
      <color indexed="81"/>
      <name val="Tahoma"/>
      <charset val="1"/>
    </font>
    <font>
      <sz val="9"/>
      <color indexed="81"/>
      <name val="Tahoma"/>
      <charset val="1"/>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quotePrefix="1"/>
    <xf numFmtId="0" fontId="0" fillId="2" borderId="0" xfId="0" applyFill="1"/>
    <xf numFmtId="0" fontId="0" fillId="0" borderId="0" xfId="0" applyAlignment="1">
      <alignment vertical="center" wrapText="1"/>
    </xf>
    <xf numFmtId="0" fontId="2" fillId="0" borderId="0" xfId="0" applyFont="1" applyAlignment="1">
      <alignment wrapText="1"/>
    </xf>
    <xf numFmtId="0" fontId="2" fillId="2" borderId="0" xfId="0" applyFont="1" applyFill="1" applyAlignment="1">
      <alignment wrapText="1"/>
    </xf>
    <xf numFmtId="0" fontId="1" fillId="2" borderId="0" xfId="0" applyFont="1" applyFill="1"/>
    <xf numFmtId="0" fontId="2" fillId="3" borderId="0" xfId="0" applyFont="1" applyFill="1" applyAlignment="1">
      <alignment wrapText="1"/>
    </xf>
    <xf numFmtId="0" fontId="0" fillId="2" borderId="0" xfId="0"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
  <sheetViews>
    <sheetView tabSelected="1" workbookViewId="0">
      <selection activeCell="R6" sqref="R6"/>
    </sheetView>
  </sheetViews>
  <sheetFormatPr defaultRowHeight="15" x14ac:dyDescent="0.25"/>
  <cols>
    <col min="1" max="1" width="9.5703125" customWidth="1"/>
    <col min="2" max="2" width="15.5703125" customWidth="1"/>
    <col min="3" max="3" width="11.140625" customWidth="1"/>
    <col min="7" max="7" width="11" customWidth="1"/>
    <col min="9" max="9" width="13.7109375" customWidth="1"/>
    <col min="10" max="10" width="7.7109375" customWidth="1"/>
    <col min="11" max="11" width="11.42578125" customWidth="1"/>
    <col min="12" max="12" width="23.28515625" customWidth="1"/>
    <col min="13" max="13" width="18.7109375" customWidth="1"/>
    <col min="14" max="14" width="11.85546875" customWidth="1"/>
    <col min="15" max="15" width="7.140625" customWidth="1"/>
    <col min="16" max="16" width="17.7109375" customWidth="1"/>
    <col min="17" max="17" width="18.140625" customWidth="1"/>
    <col min="18" max="18" width="15.28515625" customWidth="1"/>
  </cols>
  <sheetData>
    <row r="1" spans="1:18" ht="33.75" customHeight="1" x14ac:dyDescent="0.25">
      <c r="A1" s="4" t="s">
        <v>2</v>
      </c>
      <c r="B1" s="4" t="s">
        <v>1</v>
      </c>
      <c r="C1" s="7" t="s">
        <v>99</v>
      </c>
      <c r="D1" s="4" t="s">
        <v>0</v>
      </c>
      <c r="E1" s="4" t="s">
        <v>6</v>
      </c>
      <c r="F1" s="7" t="s">
        <v>101</v>
      </c>
      <c r="G1" s="4" t="s">
        <v>10</v>
      </c>
      <c r="H1" s="4" t="s">
        <v>3</v>
      </c>
      <c r="I1" s="4" t="s">
        <v>11</v>
      </c>
      <c r="J1" s="4" t="s">
        <v>4</v>
      </c>
      <c r="K1" s="4" t="s">
        <v>5</v>
      </c>
      <c r="L1" s="7" t="s">
        <v>102</v>
      </c>
      <c r="M1" s="7" t="s">
        <v>103</v>
      </c>
      <c r="N1" s="4" t="s">
        <v>8</v>
      </c>
      <c r="O1" s="4" t="s">
        <v>9</v>
      </c>
      <c r="P1" s="4" t="s">
        <v>17</v>
      </c>
      <c r="Q1" s="4" t="s">
        <v>18</v>
      </c>
      <c r="R1" s="5" t="s">
        <v>12</v>
      </c>
    </row>
    <row r="2" spans="1:18" ht="30" customHeight="1" x14ac:dyDescent="0.25">
      <c r="A2" s="6">
        <v>1</v>
      </c>
      <c r="B2" s="3" t="s">
        <v>14</v>
      </c>
      <c r="C2" s="8" t="s">
        <v>100</v>
      </c>
      <c r="D2" s="1">
        <v>2020</v>
      </c>
      <c r="E2">
        <v>5</v>
      </c>
      <c r="F2">
        <v>10000</v>
      </c>
      <c r="G2">
        <v>5.1566453999999998E-2</v>
      </c>
      <c r="H2" s="2">
        <v>201</v>
      </c>
      <c r="I2" s="2" t="str">
        <f>VLOOKUP(H2,'Master(Ko Xóa)'!$F$2:$H$158,3,0)</f>
        <v>Out</v>
      </c>
      <c r="J2" s="3" t="s">
        <v>15</v>
      </c>
      <c r="K2" t="s">
        <v>7</v>
      </c>
      <c r="L2" s="2" t="s">
        <v>104</v>
      </c>
      <c r="M2" s="2" t="s">
        <v>105</v>
      </c>
      <c r="N2" t="s">
        <v>16</v>
      </c>
      <c r="P2" t="s">
        <v>19</v>
      </c>
      <c r="Q2" t="s">
        <v>20</v>
      </c>
      <c r="R2" s="2" t="s">
        <v>106</v>
      </c>
    </row>
  </sheetData>
  <pageMargins left="0.7" right="0.7" top="0.75" bottom="0.75" header="0.3" footer="0.3"/>
  <pageSetup paperSize="9" orientation="portrait" horizontalDpi="300" verticalDpi="300"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'Master(Ko Xóa)'!$O$2:$O$3</xm:f>
          </x14:formula1>
          <xm:sqref>H2</xm:sqref>
        </x14:dataValidation>
        <x14:dataValidation type="list" allowBlank="1" showInputMessage="1" showErrorMessage="1" xr:uid="{00000000-0002-0000-0000-000001000000}">
          <x14:formula1>
            <xm:f>'Master(Ko Xóa)'!$A$2:$A$25</xm:f>
          </x14:formula1>
          <xm:sqref>A2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0"/>
  <sheetViews>
    <sheetView workbookViewId="0"/>
  </sheetViews>
  <sheetFormatPr defaultColWidth="11.140625" defaultRowHeight="15" x14ac:dyDescent="0.25"/>
  <cols>
    <col min="6" max="6" width="4.85546875" bestFit="1" customWidth="1"/>
    <col min="7" max="7" width="27" customWidth="1"/>
  </cols>
  <sheetData>
    <row r="1" spans="1:15" x14ac:dyDescent="0.25">
      <c r="A1" t="s">
        <v>21</v>
      </c>
      <c r="D1" t="s">
        <v>21</v>
      </c>
      <c r="E1" t="s">
        <v>22</v>
      </c>
      <c r="G1" t="s">
        <v>23</v>
      </c>
      <c r="H1" t="s">
        <v>24</v>
      </c>
    </row>
    <row r="2" spans="1:15" x14ac:dyDescent="0.25">
      <c r="A2">
        <v>1</v>
      </c>
      <c r="D2">
        <v>1</v>
      </c>
      <c r="E2" t="s">
        <v>25</v>
      </c>
      <c r="F2">
        <v>201</v>
      </c>
      <c r="G2" t="s">
        <v>26</v>
      </c>
      <c r="H2" t="s">
        <v>27</v>
      </c>
      <c r="K2">
        <f>F2</f>
        <v>201</v>
      </c>
      <c r="N2" t="s">
        <v>22</v>
      </c>
      <c r="O2">
        <f>VLOOKUP(Sheet1!A2,'Master(Ko Xóa)'!$D$2:$K$158,8,0)</f>
        <v>201</v>
      </c>
    </row>
    <row r="3" spans="1:15" x14ac:dyDescent="0.25">
      <c r="A3">
        <v>2</v>
      </c>
      <c r="D3">
        <v>1</v>
      </c>
      <c r="E3" t="s">
        <v>28</v>
      </c>
      <c r="F3">
        <v>202</v>
      </c>
      <c r="G3" t="s">
        <v>26</v>
      </c>
      <c r="H3" t="s">
        <v>13</v>
      </c>
      <c r="I3">
        <f>D3</f>
        <v>1</v>
      </c>
      <c r="J3">
        <f>F3</f>
        <v>202</v>
      </c>
      <c r="O3">
        <f>VLOOKUP(Sheet1!A2,'Master(Ko Xóa)'!$I$3:$J$147,2,0)</f>
        <v>202</v>
      </c>
    </row>
    <row r="4" spans="1:15" x14ac:dyDescent="0.25">
      <c r="A4">
        <v>3</v>
      </c>
      <c r="D4">
        <v>2</v>
      </c>
      <c r="E4" t="s">
        <v>29</v>
      </c>
      <c r="F4">
        <v>291</v>
      </c>
      <c r="G4" t="s">
        <v>30</v>
      </c>
      <c r="H4" t="s">
        <v>27</v>
      </c>
      <c r="K4">
        <f>F4</f>
        <v>291</v>
      </c>
    </row>
    <row r="5" spans="1:15" x14ac:dyDescent="0.25">
      <c r="A5">
        <v>4</v>
      </c>
      <c r="D5">
        <v>2</v>
      </c>
      <c r="E5" t="s">
        <v>31</v>
      </c>
      <c r="F5">
        <v>292</v>
      </c>
      <c r="G5" t="s">
        <v>30</v>
      </c>
      <c r="H5" t="s">
        <v>13</v>
      </c>
      <c r="I5">
        <f>D5</f>
        <v>2</v>
      </c>
      <c r="J5">
        <f>F5</f>
        <v>292</v>
      </c>
    </row>
    <row r="6" spans="1:15" x14ac:dyDescent="0.25">
      <c r="A6">
        <v>5</v>
      </c>
      <c r="D6">
        <v>3</v>
      </c>
      <c r="E6" t="s">
        <v>32</v>
      </c>
      <c r="F6">
        <v>201</v>
      </c>
      <c r="G6" t="s">
        <v>33</v>
      </c>
      <c r="H6" t="s">
        <v>27</v>
      </c>
      <c r="K6">
        <f>F6</f>
        <v>201</v>
      </c>
    </row>
    <row r="7" spans="1:15" x14ac:dyDescent="0.25">
      <c r="A7">
        <v>6</v>
      </c>
      <c r="D7">
        <v>3</v>
      </c>
      <c r="E7" t="s">
        <v>34</v>
      </c>
      <c r="F7">
        <v>202</v>
      </c>
      <c r="G7" t="s">
        <v>33</v>
      </c>
      <c r="H7" t="s">
        <v>13</v>
      </c>
      <c r="I7">
        <f>D7</f>
        <v>3</v>
      </c>
      <c r="J7">
        <f>F7</f>
        <v>202</v>
      </c>
    </row>
    <row r="8" spans="1:15" x14ac:dyDescent="0.25">
      <c r="A8">
        <v>7</v>
      </c>
      <c r="D8">
        <v>4</v>
      </c>
      <c r="E8" t="s">
        <v>35</v>
      </c>
      <c r="F8">
        <v>201</v>
      </c>
      <c r="G8" t="s">
        <v>36</v>
      </c>
      <c r="H8" t="s">
        <v>27</v>
      </c>
      <c r="K8">
        <f>F8</f>
        <v>201</v>
      </c>
    </row>
    <row r="9" spans="1:15" x14ac:dyDescent="0.25">
      <c r="A9">
        <v>8</v>
      </c>
      <c r="D9">
        <v>4</v>
      </c>
      <c r="E9" t="s">
        <v>37</v>
      </c>
      <c r="F9">
        <v>202</v>
      </c>
      <c r="G9" t="s">
        <v>36</v>
      </c>
      <c r="H9" t="s">
        <v>13</v>
      </c>
      <c r="I9">
        <f>D9</f>
        <v>4</v>
      </c>
      <c r="J9">
        <f>F9</f>
        <v>202</v>
      </c>
    </row>
    <row r="10" spans="1:15" x14ac:dyDescent="0.25">
      <c r="A10">
        <v>9</v>
      </c>
      <c r="D10">
        <v>5</v>
      </c>
      <c r="E10" t="s">
        <v>38</v>
      </c>
      <c r="F10" t="s">
        <v>39</v>
      </c>
      <c r="G10" t="s">
        <v>40</v>
      </c>
      <c r="H10" t="s">
        <v>27</v>
      </c>
      <c r="K10" t="str">
        <f>F10</f>
        <v>mpa</v>
      </c>
    </row>
    <row r="11" spans="1:15" x14ac:dyDescent="0.25">
      <c r="A11">
        <v>10</v>
      </c>
      <c r="D11">
        <v>5</v>
      </c>
      <c r="E11" t="s">
        <v>38</v>
      </c>
      <c r="F11" t="s">
        <v>39</v>
      </c>
      <c r="G11" t="s">
        <v>40</v>
      </c>
      <c r="H11" t="s">
        <v>13</v>
      </c>
      <c r="I11">
        <f>D11</f>
        <v>5</v>
      </c>
      <c r="J11" t="str">
        <f>F11</f>
        <v>mpa</v>
      </c>
    </row>
    <row r="12" spans="1:15" x14ac:dyDescent="0.25">
      <c r="A12">
        <v>11</v>
      </c>
      <c r="D12">
        <v>6</v>
      </c>
      <c r="E12" t="s">
        <v>41</v>
      </c>
      <c r="F12">
        <v>551</v>
      </c>
      <c r="G12" t="s">
        <v>42</v>
      </c>
      <c r="H12" t="s">
        <v>27</v>
      </c>
      <c r="K12">
        <f>F12</f>
        <v>551</v>
      </c>
    </row>
    <row r="13" spans="1:15" x14ac:dyDescent="0.25">
      <c r="A13">
        <v>12</v>
      </c>
      <c r="D13">
        <v>6</v>
      </c>
      <c r="E13" t="s">
        <v>43</v>
      </c>
      <c r="F13">
        <v>552</v>
      </c>
      <c r="G13" t="s">
        <v>42</v>
      </c>
      <c r="H13" t="s">
        <v>13</v>
      </c>
      <c r="I13">
        <f>D13</f>
        <v>6</v>
      </c>
      <c r="J13">
        <f>F13</f>
        <v>552</v>
      </c>
    </row>
    <row r="14" spans="1:15" x14ac:dyDescent="0.25">
      <c r="A14">
        <v>13</v>
      </c>
      <c r="D14">
        <v>7</v>
      </c>
      <c r="E14" t="s">
        <v>44</v>
      </c>
      <c r="F14">
        <v>201</v>
      </c>
      <c r="G14" t="s">
        <v>45</v>
      </c>
      <c r="H14" t="s">
        <v>27</v>
      </c>
      <c r="K14">
        <f>F14</f>
        <v>201</v>
      </c>
    </row>
    <row r="15" spans="1:15" x14ac:dyDescent="0.25">
      <c r="A15">
        <v>14</v>
      </c>
      <c r="D15">
        <v>7</v>
      </c>
      <c r="E15" t="s">
        <v>46</v>
      </c>
      <c r="F15">
        <v>202</v>
      </c>
      <c r="G15" t="s">
        <v>45</v>
      </c>
      <c r="H15" t="s">
        <v>13</v>
      </c>
      <c r="I15">
        <f>D15</f>
        <v>7</v>
      </c>
      <c r="J15">
        <f>F15</f>
        <v>202</v>
      </c>
    </row>
    <row r="16" spans="1:15" x14ac:dyDescent="0.25">
      <c r="A16">
        <v>15</v>
      </c>
      <c r="D16">
        <v>8</v>
      </c>
      <c r="E16" t="s">
        <v>47</v>
      </c>
      <c r="F16">
        <v>201</v>
      </c>
      <c r="G16" t="s">
        <v>48</v>
      </c>
      <c r="H16" t="s">
        <v>27</v>
      </c>
      <c r="K16">
        <f>F16</f>
        <v>201</v>
      </c>
    </row>
    <row r="17" spans="1:11" x14ac:dyDescent="0.25">
      <c r="A17">
        <v>16</v>
      </c>
      <c r="D17">
        <v>8</v>
      </c>
      <c r="E17" t="s">
        <v>49</v>
      </c>
      <c r="F17">
        <v>202</v>
      </c>
      <c r="G17" t="s">
        <v>48</v>
      </c>
      <c r="H17" t="s">
        <v>13</v>
      </c>
      <c r="I17">
        <f>D17</f>
        <v>8</v>
      </c>
      <c r="J17">
        <f>F17</f>
        <v>202</v>
      </c>
    </row>
    <row r="18" spans="1:11" x14ac:dyDescent="0.25">
      <c r="A18">
        <v>17</v>
      </c>
      <c r="D18">
        <v>9</v>
      </c>
      <c r="E18" t="s">
        <v>50</v>
      </c>
      <c r="F18">
        <v>201</v>
      </c>
      <c r="G18" t="s">
        <v>51</v>
      </c>
      <c r="H18" t="s">
        <v>27</v>
      </c>
      <c r="K18">
        <f>F18</f>
        <v>201</v>
      </c>
    </row>
    <row r="19" spans="1:11" x14ac:dyDescent="0.25">
      <c r="A19">
        <v>18</v>
      </c>
      <c r="D19">
        <v>9</v>
      </c>
      <c r="E19" t="s">
        <v>52</v>
      </c>
      <c r="F19">
        <v>202</v>
      </c>
      <c r="G19" t="s">
        <v>51</v>
      </c>
      <c r="H19" t="s">
        <v>13</v>
      </c>
      <c r="I19">
        <f>D19</f>
        <v>9</v>
      </c>
      <c r="J19">
        <f>F19</f>
        <v>202</v>
      </c>
    </row>
    <row r="20" spans="1:11" x14ac:dyDescent="0.25">
      <c r="A20">
        <v>19</v>
      </c>
      <c r="D20">
        <v>10</v>
      </c>
      <c r="E20" t="s">
        <v>53</v>
      </c>
      <c r="F20">
        <v>201</v>
      </c>
      <c r="G20" t="s">
        <v>54</v>
      </c>
      <c r="H20" t="s">
        <v>27</v>
      </c>
      <c r="K20">
        <f>F20</f>
        <v>201</v>
      </c>
    </row>
    <row r="21" spans="1:11" x14ac:dyDescent="0.25">
      <c r="A21">
        <v>20</v>
      </c>
      <c r="D21">
        <v>10</v>
      </c>
      <c r="E21" t="s">
        <v>55</v>
      </c>
      <c r="F21">
        <v>202</v>
      </c>
      <c r="G21" t="s">
        <v>54</v>
      </c>
      <c r="H21" t="s">
        <v>13</v>
      </c>
      <c r="I21">
        <f>D21</f>
        <v>10</v>
      </c>
      <c r="J21">
        <f>F21</f>
        <v>202</v>
      </c>
    </row>
    <row r="22" spans="1:11" x14ac:dyDescent="0.25">
      <c r="A22">
        <v>21</v>
      </c>
      <c r="D22">
        <v>11</v>
      </c>
      <c r="E22" t="s">
        <v>56</v>
      </c>
      <c r="F22">
        <v>201</v>
      </c>
      <c r="G22" t="s">
        <v>57</v>
      </c>
      <c r="H22" t="s">
        <v>27</v>
      </c>
      <c r="K22">
        <f>F22</f>
        <v>201</v>
      </c>
    </row>
    <row r="23" spans="1:11" x14ac:dyDescent="0.25">
      <c r="A23">
        <v>22</v>
      </c>
      <c r="D23">
        <v>11</v>
      </c>
      <c r="E23" t="s">
        <v>58</v>
      </c>
      <c r="F23">
        <v>202</v>
      </c>
      <c r="G23" t="s">
        <v>57</v>
      </c>
      <c r="H23" t="s">
        <v>13</v>
      </c>
      <c r="I23">
        <f>D23</f>
        <v>11</v>
      </c>
      <c r="J23">
        <f>F23</f>
        <v>202</v>
      </c>
    </row>
    <row r="24" spans="1:11" x14ac:dyDescent="0.25">
      <c r="A24">
        <v>23</v>
      </c>
      <c r="D24">
        <v>12</v>
      </c>
      <c r="E24" t="s">
        <v>59</v>
      </c>
      <c r="F24">
        <v>201</v>
      </c>
      <c r="G24" t="s">
        <v>60</v>
      </c>
      <c r="H24" t="s">
        <v>27</v>
      </c>
      <c r="K24">
        <f>F24</f>
        <v>201</v>
      </c>
    </row>
    <row r="25" spans="1:11" x14ac:dyDescent="0.25">
      <c r="A25">
        <v>25</v>
      </c>
      <c r="D25">
        <v>12</v>
      </c>
      <c r="E25" t="s">
        <v>61</v>
      </c>
      <c r="F25">
        <v>202</v>
      </c>
      <c r="G25" t="s">
        <v>60</v>
      </c>
      <c r="H25" t="s">
        <v>13</v>
      </c>
      <c r="I25">
        <f>D25</f>
        <v>12</v>
      </c>
      <c r="J25">
        <f>F25</f>
        <v>202</v>
      </c>
    </row>
    <row r="26" spans="1:11" x14ac:dyDescent="0.25">
      <c r="D26">
        <v>13</v>
      </c>
      <c r="E26" t="s">
        <v>62</v>
      </c>
      <c r="F26">
        <v>201</v>
      </c>
      <c r="G26" t="s">
        <v>63</v>
      </c>
      <c r="H26" t="s">
        <v>27</v>
      </c>
      <c r="K26">
        <f>F26</f>
        <v>201</v>
      </c>
    </row>
    <row r="27" spans="1:11" x14ac:dyDescent="0.25">
      <c r="D27">
        <v>13</v>
      </c>
      <c r="E27" t="s">
        <v>64</v>
      </c>
      <c r="F27">
        <v>202</v>
      </c>
      <c r="G27" t="s">
        <v>63</v>
      </c>
      <c r="H27" t="s">
        <v>13</v>
      </c>
      <c r="I27">
        <f>D27</f>
        <v>13</v>
      </c>
      <c r="J27">
        <f>F27</f>
        <v>202</v>
      </c>
    </row>
    <row r="28" spans="1:11" x14ac:dyDescent="0.25">
      <c r="D28">
        <v>14</v>
      </c>
      <c r="E28" t="s">
        <v>65</v>
      </c>
      <c r="F28">
        <v>201</v>
      </c>
      <c r="G28" t="s">
        <v>66</v>
      </c>
      <c r="H28" t="s">
        <v>27</v>
      </c>
      <c r="K28">
        <f>F28</f>
        <v>201</v>
      </c>
    </row>
    <row r="29" spans="1:11" x14ac:dyDescent="0.25">
      <c r="D29">
        <v>14</v>
      </c>
      <c r="E29" t="s">
        <v>67</v>
      </c>
      <c r="F29">
        <v>202</v>
      </c>
      <c r="G29" t="s">
        <v>66</v>
      </c>
      <c r="H29" t="s">
        <v>13</v>
      </c>
      <c r="I29">
        <f>D29</f>
        <v>14</v>
      </c>
      <c r="J29">
        <f>F29</f>
        <v>202</v>
      </c>
    </row>
    <row r="30" spans="1:11" x14ac:dyDescent="0.25">
      <c r="D30">
        <v>15</v>
      </c>
      <c r="E30" t="s">
        <v>68</v>
      </c>
      <c r="F30">
        <v>201</v>
      </c>
      <c r="G30" t="s">
        <v>69</v>
      </c>
      <c r="H30" t="s">
        <v>27</v>
      </c>
      <c r="K30">
        <f>F30</f>
        <v>201</v>
      </c>
    </row>
    <row r="31" spans="1:11" x14ac:dyDescent="0.25">
      <c r="D31">
        <v>15</v>
      </c>
      <c r="E31" t="s">
        <v>70</v>
      </c>
      <c r="F31">
        <v>202</v>
      </c>
      <c r="G31" t="s">
        <v>69</v>
      </c>
      <c r="H31" t="s">
        <v>13</v>
      </c>
      <c r="I31">
        <f>D31</f>
        <v>15</v>
      </c>
      <c r="J31">
        <f>F31</f>
        <v>202</v>
      </c>
    </row>
    <row r="32" spans="1:11" x14ac:dyDescent="0.25">
      <c r="D32">
        <v>16</v>
      </c>
      <c r="E32" t="s">
        <v>71</v>
      </c>
      <c r="F32">
        <v>201</v>
      </c>
      <c r="G32" t="s">
        <v>72</v>
      </c>
      <c r="H32" t="s">
        <v>27</v>
      </c>
      <c r="K32">
        <f>F32</f>
        <v>201</v>
      </c>
    </row>
    <row r="33" spans="4:11" x14ac:dyDescent="0.25">
      <c r="D33">
        <v>16</v>
      </c>
      <c r="E33" t="s">
        <v>73</v>
      </c>
      <c r="F33">
        <v>202</v>
      </c>
      <c r="G33" t="s">
        <v>72</v>
      </c>
      <c r="H33" t="s">
        <v>13</v>
      </c>
      <c r="I33">
        <f>D33</f>
        <v>16</v>
      </c>
      <c r="J33">
        <f>F33</f>
        <v>202</v>
      </c>
    </row>
    <row r="34" spans="4:11" x14ac:dyDescent="0.25">
      <c r="D34">
        <v>16</v>
      </c>
      <c r="E34" t="s">
        <v>74</v>
      </c>
      <c r="F34">
        <v>201</v>
      </c>
      <c r="G34" t="s">
        <v>72</v>
      </c>
      <c r="H34" t="s">
        <v>27</v>
      </c>
      <c r="K34">
        <f>F34</f>
        <v>201</v>
      </c>
    </row>
    <row r="35" spans="4:11" x14ac:dyDescent="0.25">
      <c r="D35">
        <v>17</v>
      </c>
      <c r="E35" t="s">
        <v>75</v>
      </c>
      <c r="F35">
        <v>701</v>
      </c>
      <c r="G35" t="s">
        <v>76</v>
      </c>
      <c r="H35" t="s">
        <v>13</v>
      </c>
      <c r="I35">
        <f>D35</f>
        <v>17</v>
      </c>
      <c r="J35">
        <f>F35</f>
        <v>701</v>
      </c>
    </row>
    <row r="36" spans="4:11" x14ac:dyDescent="0.25">
      <c r="D36">
        <v>17</v>
      </c>
      <c r="E36" t="s">
        <v>77</v>
      </c>
      <c r="F36">
        <v>702</v>
      </c>
      <c r="G36" t="s">
        <v>76</v>
      </c>
      <c r="H36" t="s">
        <v>27</v>
      </c>
      <c r="K36">
        <f>F36</f>
        <v>702</v>
      </c>
    </row>
    <row r="37" spans="4:11" x14ac:dyDescent="0.25">
      <c r="D37">
        <v>18</v>
      </c>
      <c r="E37" t="s">
        <v>78</v>
      </c>
      <c r="F37">
        <v>701</v>
      </c>
      <c r="G37" t="s">
        <v>79</v>
      </c>
      <c r="H37" t="s">
        <v>13</v>
      </c>
      <c r="I37">
        <f>D37</f>
        <v>18</v>
      </c>
      <c r="J37">
        <f>F37</f>
        <v>701</v>
      </c>
    </row>
    <row r="38" spans="4:11" x14ac:dyDescent="0.25">
      <c r="D38">
        <v>18</v>
      </c>
      <c r="E38" t="s">
        <v>80</v>
      </c>
      <c r="F38">
        <v>702</v>
      </c>
      <c r="G38" t="s">
        <v>79</v>
      </c>
      <c r="H38" t="s">
        <v>27</v>
      </c>
      <c r="K38">
        <f t="shared" ref="K38:K39" si="0">F38</f>
        <v>702</v>
      </c>
    </row>
    <row r="39" spans="4:11" x14ac:dyDescent="0.25">
      <c r="D39">
        <v>19</v>
      </c>
      <c r="E39" t="s">
        <v>81</v>
      </c>
      <c r="F39">
        <v>555</v>
      </c>
      <c r="G39" t="s">
        <v>82</v>
      </c>
      <c r="H39" t="s">
        <v>27</v>
      </c>
      <c r="K39">
        <f t="shared" si="0"/>
        <v>555</v>
      </c>
    </row>
    <row r="40" spans="4:11" x14ac:dyDescent="0.25">
      <c r="D40">
        <v>19</v>
      </c>
      <c r="E40" t="s">
        <v>83</v>
      </c>
      <c r="F40">
        <v>556</v>
      </c>
      <c r="G40" t="s">
        <v>82</v>
      </c>
      <c r="H40" t="s">
        <v>13</v>
      </c>
      <c r="I40">
        <f>D40</f>
        <v>19</v>
      </c>
      <c r="J40">
        <f>F40</f>
        <v>556</v>
      </c>
    </row>
    <row r="41" spans="4:11" x14ac:dyDescent="0.25">
      <c r="D41">
        <v>20</v>
      </c>
      <c r="E41" t="s">
        <v>84</v>
      </c>
      <c r="F41">
        <v>555</v>
      </c>
      <c r="G41" t="s">
        <v>85</v>
      </c>
      <c r="H41" t="s">
        <v>27</v>
      </c>
      <c r="K41">
        <f>F41</f>
        <v>555</v>
      </c>
    </row>
    <row r="42" spans="4:11" x14ac:dyDescent="0.25">
      <c r="D42">
        <v>20</v>
      </c>
      <c r="E42" t="s">
        <v>86</v>
      </c>
      <c r="F42">
        <v>556</v>
      </c>
      <c r="G42" t="s">
        <v>85</v>
      </c>
      <c r="H42" t="s">
        <v>13</v>
      </c>
      <c r="I42">
        <f>D42</f>
        <v>20</v>
      </c>
      <c r="J42">
        <f>F42</f>
        <v>556</v>
      </c>
    </row>
    <row r="43" spans="4:11" x14ac:dyDescent="0.25">
      <c r="D43">
        <v>21</v>
      </c>
      <c r="E43" t="s">
        <v>87</v>
      </c>
      <c r="F43">
        <v>201</v>
      </c>
      <c r="G43" t="s">
        <v>88</v>
      </c>
      <c r="H43" t="s">
        <v>27</v>
      </c>
      <c r="K43">
        <f>F43</f>
        <v>201</v>
      </c>
    </row>
    <row r="44" spans="4:11" x14ac:dyDescent="0.25">
      <c r="D44">
        <v>21</v>
      </c>
      <c r="E44" t="s">
        <v>89</v>
      </c>
      <c r="F44">
        <v>202</v>
      </c>
      <c r="G44" t="s">
        <v>88</v>
      </c>
      <c r="H44" t="s">
        <v>13</v>
      </c>
      <c r="I44">
        <f>D44</f>
        <v>21</v>
      </c>
      <c r="J44">
        <f>F44</f>
        <v>202</v>
      </c>
    </row>
    <row r="45" spans="4:11" x14ac:dyDescent="0.25">
      <c r="D45">
        <v>22</v>
      </c>
      <c r="E45" t="s">
        <v>90</v>
      </c>
      <c r="F45">
        <v>201</v>
      </c>
      <c r="G45" t="s">
        <v>91</v>
      </c>
      <c r="H45" t="s">
        <v>27</v>
      </c>
      <c r="K45">
        <f>F45</f>
        <v>201</v>
      </c>
    </row>
    <row r="46" spans="4:11" x14ac:dyDescent="0.25">
      <c r="D46">
        <v>22</v>
      </c>
      <c r="E46" t="s">
        <v>92</v>
      </c>
      <c r="F46">
        <v>202</v>
      </c>
      <c r="G46" t="s">
        <v>91</v>
      </c>
      <c r="H46" t="s">
        <v>13</v>
      </c>
      <c r="I46">
        <f>D46</f>
        <v>22</v>
      </c>
      <c r="J46">
        <f>F46</f>
        <v>202</v>
      </c>
    </row>
    <row r="47" spans="4:11" x14ac:dyDescent="0.25">
      <c r="D47">
        <v>23</v>
      </c>
      <c r="E47" t="s">
        <v>93</v>
      </c>
      <c r="F47">
        <v>201</v>
      </c>
      <c r="G47" t="s">
        <v>94</v>
      </c>
      <c r="H47" t="s">
        <v>27</v>
      </c>
      <c r="K47">
        <f>F47</f>
        <v>201</v>
      </c>
    </row>
    <row r="48" spans="4:11" x14ac:dyDescent="0.25">
      <c r="D48">
        <v>23</v>
      </c>
      <c r="E48" t="s">
        <v>95</v>
      </c>
      <c r="F48">
        <v>202</v>
      </c>
      <c r="G48" t="s">
        <v>94</v>
      </c>
      <c r="H48" t="s">
        <v>13</v>
      </c>
      <c r="I48">
        <f>D48</f>
        <v>23</v>
      </c>
      <c r="J48">
        <f>F48</f>
        <v>202</v>
      </c>
    </row>
    <row r="49" spans="4:11" x14ac:dyDescent="0.25">
      <c r="D49">
        <v>25</v>
      </c>
      <c r="E49" t="s">
        <v>96</v>
      </c>
      <c r="F49">
        <v>559</v>
      </c>
      <c r="G49" t="s">
        <v>97</v>
      </c>
      <c r="H49" t="s">
        <v>27</v>
      </c>
      <c r="K49">
        <f>F49</f>
        <v>559</v>
      </c>
    </row>
    <row r="50" spans="4:11" x14ac:dyDescent="0.25">
      <c r="D50">
        <v>25</v>
      </c>
      <c r="E50" t="s">
        <v>98</v>
      </c>
      <c r="F50">
        <v>560</v>
      </c>
      <c r="G50" t="s">
        <v>97</v>
      </c>
      <c r="H50" t="s">
        <v>13</v>
      </c>
      <c r="I50">
        <f>D50</f>
        <v>25</v>
      </c>
      <c r="J50">
        <f>F50</f>
        <v>560</v>
      </c>
    </row>
  </sheetData>
  <autoFilter ref="A1:H50"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Master(Ko Xóa)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THI_Dao</dc:creator>
  <cp:lastModifiedBy>MINH NGUYEN NHU</cp:lastModifiedBy>
  <dcterms:created xsi:type="dcterms:W3CDTF">2021-07-20T07:38:07Z</dcterms:created>
  <dcterms:modified xsi:type="dcterms:W3CDTF">2026-01-22T09:17:39Z</dcterms:modified>
</cp:coreProperties>
</file>