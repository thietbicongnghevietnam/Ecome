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0K6885\Documents\Softros LAN Messenger\PUS1 - PRJ Riem (2180) - 2026 January 19 (1)\"/>
    </mc:Choice>
  </mc:AlternateContent>
  <xr:revisionPtr revIDLastSave="0" documentId="13_ncr:1_{EEF34523-D608-46A4-ACF2-B70F5561C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Sheet1!$B$5:$AU$42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2" i="1" l="1"/>
  <c r="AJ42" i="1" s="1"/>
  <c r="AA41" i="1"/>
  <c r="AJ41" i="1" s="1"/>
  <c r="AA40" i="1"/>
  <c r="AD40" i="1" s="1"/>
  <c r="AA39" i="1"/>
  <c r="AD39" i="1" s="1"/>
  <c r="AA38" i="1"/>
  <c r="AD38" i="1" s="1"/>
  <c r="AE38" i="1" s="1"/>
  <c r="AA37" i="1"/>
  <c r="AD37" i="1" s="1"/>
  <c r="AA36" i="1"/>
  <c r="AD36" i="1" s="1"/>
  <c r="AA35" i="1"/>
  <c r="AD35" i="1" s="1"/>
  <c r="AA34" i="1"/>
  <c r="AD34" i="1" s="1"/>
  <c r="AK34" i="1" s="1"/>
  <c r="AM34" i="1" s="1"/>
  <c r="AA33" i="1"/>
  <c r="AD33" i="1" s="1"/>
  <c r="AE33" i="1" s="1"/>
  <c r="AA32" i="1"/>
  <c r="AD32" i="1" s="1"/>
  <c r="AE32" i="1" s="1"/>
  <c r="AA31" i="1"/>
  <c r="AD31" i="1" s="1"/>
  <c r="AK31" i="1" s="1"/>
  <c r="AM31" i="1" s="1"/>
  <c r="AA30" i="1"/>
  <c r="AD30" i="1" s="1"/>
  <c r="AK30" i="1" s="1"/>
  <c r="AM30" i="1" s="1"/>
  <c r="AA29" i="1"/>
  <c r="AD29" i="1" s="1"/>
  <c r="AK29" i="1" s="1"/>
  <c r="AM29" i="1" s="1"/>
  <c r="AA28" i="1"/>
  <c r="AD28" i="1" s="1"/>
  <c r="AK28" i="1" s="1"/>
  <c r="AM28" i="1" s="1"/>
  <c r="AI27" i="1"/>
  <c r="AA27" i="1"/>
  <c r="AJ27" i="1" s="1"/>
  <c r="W27" i="1"/>
  <c r="V27" i="1"/>
  <c r="U27" i="1"/>
  <c r="T27" i="1"/>
  <c r="AI26" i="1"/>
  <c r="AH26" i="1"/>
  <c r="AA26" i="1"/>
  <c r="AD26" i="1" s="1"/>
  <c r="W26" i="1"/>
  <c r="V26" i="1"/>
  <c r="U26" i="1"/>
  <c r="T26" i="1"/>
  <c r="AI25" i="1"/>
  <c r="AH25" i="1"/>
  <c r="AA25" i="1"/>
  <c r="AJ25" i="1" s="1"/>
  <c r="W25" i="1"/>
  <c r="V25" i="1"/>
  <c r="U25" i="1"/>
  <c r="T25" i="1"/>
  <c r="AI24" i="1"/>
  <c r="AA24" i="1"/>
  <c r="AB24" i="1" s="1"/>
  <c r="W24" i="1"/>
  <c r="V24" i="1"/>
  <c r="U24" i="1"/>
  <c r="T24" i="1"/>
  <c r="AI23" i="1"/>
  <c r="AA23" i="1"/>
  <c r="AD23" i="1" s="1"/>
  <c r="W23" i="1"/>
  <c r="V23" i="1"/>
  <c r="U23" i="1"/>
  <c r="T23" i="1"/>
  <c r="AI22" i="1"/>
  <c r="AA22" i="1"/>
  <c r="AJ22" i="1" s="1"/>
  <c r="W22" i="1"/>
  <c r="V22" i="1"/>
  <c r="U22" i="1"/>
  <c r="T22" i="1"/>
  <c r="AI21" i="1"/>
  <c r="AA21" i="1"/>
  <c r="AD21" i="1" s="1"/>
  <c r="AK21" i="1" s="1"/>
  <c r="AM21" i="1" s="1"/>
  <c r="W21" i="1"/>
  <c r="V21" i="1"/>
  <c r="U21" i="1"/>
  <c r="T21" i="1"/>
  <c r="AI20" i="1"/>
  <c r="AH20" i="1"/>
  <c r="AA20" i="1"/>
  <c r="AD20" i="1" s="1"/>
  <c r="W20" i="1"/>
  <c r="V20" i="1"/>
  <c r="U20" i="1"/>
  <c r="T20" i="1"/>
  <c r="AI19" i="1"/>
  <c r="AA19" i="1"/>
  <c r="AD19" i="1" s="1"/>
  <c r="W19" i="1"/>
  <c r="V19" i="1"/>
  <c r="U19" i="1"/>
  <c r="T19" i="1"/>
  <c r="AI18" i="1"/>
  <c r="AA18" i="1"/>
  <c r="AB18" i="1" s="1"/>
  <c r="W18" i="1"/>
  <c r="V18" i="1"/>
  <c r="U18" i="1"/>
  <c r="T18" i="1"/>
  <c r="AI17" i="1"/>
  <c r="AA17" i="1"/>
  <c r="AJ17" i="1" s="1"/>
  <c r="W17" i="1"/>
  <c r="V17" i="1"/>
  <c r="U17" i="1"/>
  <c r="T17" i="1"/>
  <c r="AI16" i="1"/>
  <c r="AA16" i="1"/>
  <c r="AJ16" i="1" s="1"/>
  <c r="W16" i="1"/>
  <c r="V16" i="1"/>
  <c r="U16" i="1"/>
  <c r="T16" i="1"/>
  <c r="AI15" i="1"/>
  <c r="AH15" i="1"/>
  <c r="AA15" i="1"/>
  <c r="AD15" i="1" s="1"/>
  <c r="W15" i="1"/>
  <c r="V15" i="1"/>
  <c r="U15" i="1"/>
  <c r="T15" i="1"/>
  <c r="AI14" i="1"/>
  <c r="AA14" i="1"/>
  <c r="AJ14" i="1" s="1"/>
  <c r="W14" i="1"/>
  <c r="V14" i="1"/>
  <c r="U14" i="1"/>
  <c r="T14" i="1"/>
  <c r="AI13" i="1"/>
  <c r="AA13" i="1"/>
  <c r="AJ13" i="1" s="1"/>
  <c r="W13" i="1"/>
  <c r="V13" i="1"/>
  <c r="U13" i="1"/>
  <c r="T13" i="1"/>
  <c r="AI12" i="1"/>
  <c r="AH12" i="1"/>
  <c r="AA12" i="1"/>
  <c r="AD12" i="1" s="1"/>
  <c r="W12" i="1"/>
  <c r="V12" i="1"/>
  <c r="U12" i="1"/>
  <c r="T12" i="1"/>
  <c r="AI11" i="1"/>
  <c r="AA11" i="1"/>
  <c r="AJ11" i="1" s="1"/>
  <c r="W11" i="1"/>
  <c r="V11" i="1"/>
  <c r="U11" i="1"/>
  <c r="T11" i="1"/>
  <c r="AI10" i="1"/>
  <c r="AA10" i="1"/>
  <c r="AJ10" i="1" s="1"/>
  <c r="W10" i="1"/>
  <c r="V10" i="1"/>
  <c r="U10" i="1"/>
  <c r="T10" i="1"/>
  <c r="AI9" i="1"/>
  <c r="AA9" i="1"/>
  <c r="AD9" i="1" s="1"/>
  <c r="W9" i="1"/>
  <c r="V9" i="1"/>
  <c r="U9" i="1"/>
  <c r="T9" i="1"/>
  <c r="AI8" i="1"/>
  <c r="AA8" i="1"/>
  <c r="AJ8" i="1" s="1"/>
  <c r="W8" i="1"/>
  <c r="V8" i="1"/>
  <c r="U8" i="1"/>
  <c r="T8" i="1"/>
  <c r="AI7" i="1"/>
  <c r="AA7" i="1"/>
  <c r="AD7" i="1" s="1"/>
  <c r="AK7" i="1" s="1"/>
  <c r="AM7" i="1" s="1"/>
  <c r="W7" i="1"/>
  <c r="V7" i="1"/>
  <c r="U7" i="1"/>
  <c r="T7" i="1"/>
  <c r="AR6" i="1"/>
  <c r="AR2" i="1" s="1"/>
  <c r="AQ6" i="1"/>
  <c r="AQ2" i="1" s="1"/>
  <c r="AI6" i="1"/>
  <c r="AA6" i="1"/>
  <c r="AJ6" i="1" s="1"/>
  <c r="W6" i="1"/>
  <c r="V6" i="1"/>
  <c r="U6" i="1"/>
  <c r="T6" i="1"/>
  <c r="AJ12" i="1" l="1"/>
  <c r="AJ32" i="1"/>
  <c r="AJ24" i="1"/>
  <c r="AJ7" i="1"/>
  <c r="AJ38" i="1"/>
  <c r="AD24" i="1"/>
  <c r="AE24" i="1" s="1"/>
  <c r="AB21" i="1"/>
  <c r="AD18" i="1"/>
  <c r="AK18" i="1" s="1"/>
  <c r="AM18" i="1" s="1"/>
  <c r="AO18" i="1" s="1"/>
  <c r="AJ18" i="1"/>
  <c r="AJ35" i="1"/>
  <c r="AJ30" i="1"/>
  <c r="AJ20" i="1"/>
  <c r="AJ36" i="1"/>
  <c r="AJ9" i="1"/>
  <c r="AB10" i="1"/>
  <c r="AF31" i="1"/>
  <c r="AJ34" i="1"/>
  <c r="AJ15" i="1"/>
  <c r="AJ31" i="1"/>
  <c r="AJ37" i="1"/>
  <c r="AJ28" i="1"/>
  <c r="AJ21" i="1"/>
  <c r="AJ29" i="1"/>
  <c r="AJ26" i="1"/>
  <c r="AD10" i="1"/>
  <c r="AE10" i="1" s="1"/>
  <c r="AB7" i="1"/>
  <c r="AJ33" i="1"/>
  <c r="AJ39" i="1"/>
  <c r="AF29" i="1"/>
  <c r="AJ40" i="1"/>
  <c r="AJ23" i="1"/>
  <c r="AO30" i="1"/>
  <c r="AN30" i="1"/>
  <c r="AF34" i="1"/>
  <c r="AK37" i="1"/>
  <c r="AM37" i="1" s="1"/>
  <c r="AF37" i="1"/>
  <c r="AF40" i="1"/>
  <c r="AE40" i="1"/>
  <c r="AK40" i="1"/>
  <c r="AM40" i="1" s="1"/>
  <c r="AO31" i="1"/>
  <c r="AN31" i="1"/>
  <c r="AK36" i="1"/>
  <c r="AM36" i="1" s="1"/>
  <c r="AF36" i="1"/>
  <c r="AE36" i="1"/>
  <c r="AK32" i="1"/>
  <c r="AM32" i="1" s="1"/>
  <c r="AF32" i="1"/>
  <c r="AE28" i="1"/>
  <c r="AE30" i="1"/>
  <c r="AF28" i="1"/>
  <c r="AF30" i="1"/>
  <c r="AE37" i="1"/>
  <c r="AK35" i="1"/>
  <c r="AM35" i="1" s="1"/>
  <c r="AF35" i="1"/>
  <c r="AK33" i="1"/>
  <c r="AM33" i="1" s="1"/>
  <c r="AF33" i="1"/>
  <c r="AE35" i="1"/>
  <c r="AO29" i="1"/>
  <c r="AN29" i="1"/>
  <c r="AE29" i="1"/>
  <c r="AE31" i="1"/>
  <c r="AK38" i="1"/>
  <c r="AM38" i="1" s="1"/>
  <c r="AF38" i="1"/>
  <c r="AO34" i="1"/>
  <c r="AN34" i="1"/>
  <c r="AE34" i="1"/>
  <c r="AO28" i="1"/>
  <c r="AN28" i="1"/>
  <c r="AK39" i="1"/>
  <c r="AM39" i="1" s="1"/>
  <c r="AF39" i="1"/>
  <c r="AE39" i="1"/>
  <c r="AB42" i="1"/>
  <c r="AD42" i="1"/>
  <c r="AB41" i="1"/>
  <c r="AD41" i="1"/>
  <c r="AB40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E26" i="1"/>
  <c r="AK26" i="1"/>
  <c r="AM26" i="1" s="1"/>
  <c r="AF26" i="1"/>
  <c r="AF23" i="1"/>
  <c r="AE23" i="1"/>
  <c r="AK23" i="1"/>
  <c r="AM23" i="1" s="1"/>
  <c r="AO21" i="1"/>
  <c r="AN21" i="1"/>
  <c r="AF20" i="1"/>
  <c r="AK20" i="1"/>
  <c r="AM20" i="1" s="1"/>
  <c r="AE20" i="1"/>
  <c r="AE19" i="1"/>
  <c r="AK19" i="1"/>
  <c r="AM19" i="1" s="1"/>
  <c r="AF19" i="1"/>
  <c r="AB27" i="1"/>
  <c r="AB19" i="1"/>
  <c r="AF24" i="1"/>
  <c r="AD27" i="1"/>
  <c r="AB22" i="1"/>
  <c r="AB25" i="1"/>
  <c r="AD22" i="1"/>
  <c r="AB20" i="1"/>
  <c r="AJ19" i="1"/>
  <c r="AB23" i="1"/>
  <c r="AB26" i="1"/>
  <c r="AE21" i="1"/>
  <c r="AF21" i="1"/>
  <c r="AB17" i="1"/>
  <c r="AD25" i="1"/>
  <c r="AD17" i="1"/>
  <c r="AF12" i="1"/>
  <c r="AE12" i="1"/>
  <c r="AK12" i="1"/>
  <c r="AM12" i="1" s="1"/>
  <c r="AE15" i="1"/>
  <c r="AK15" i="1"/>
  <c r="AM15" i="1" s="1"/>
  <c r="AF15" i="1"/>
  <c r="AO7" i="1"/>
  <c r="AN7" i="1"/>
  <c r="AF9" i="1"/>
  <c r="AE9" i="1"/>
  <c r="AK9" i="1"/>
  <c r="AM9" i="1" s="1"/>
  <c r="AB16" i="1"/>
  <c r="AB13" i="1"/>
  <c r="AE7" i="1"/>
  <c r="AD13" i="1"/>
  <c r="AF7" i="1"/>
  <c r="AB11" i="1"/>
  <c r="AD8" i="1"/>
  <c r="AB6" i="1"/>
  <c r="AD14" i="1"/>
  <c r="AB9" i="1"/>
  <c r="AD16" i="1"/>
  <c r="AB8" i="1"/>
  <c r="AD11" i="1"/>
  <c r="AB14" i="1"/>
  <c r="AD6" i="1"/>
  <c r="AB12" i="1"/>
  <c r="AB15" i="1"/>
  <c r="AN18" i="1" l="1"/>
  <c r="AE18" i="1"/>
  <c r="AF18" i="1"/>
  <c r="AK24" i="1"/>
  <c r="AM24" i="1" s="1"/>
  <c r="AO24" i="1" s="1"/>
  <c r="AK10" i="1"/>
  <c r="AM10" i="1" s="1"/>
  <c r="AF10" i="1"/>
  <c r="AO39" i="1"/>
  <c r="AN39" i="1"/>
  <c r="AO36" i="1"/>
  <c r="AN36" i="1"/>
  <c r="AO40" i="1"/>
  <c r="AN40" i="1"/>
  <c r="AN38" i="1"/>
  <c r="AO38" i="1"/>
  <c r="AF42" i="1"/>
  <c r="AE42" i="1"/>
  <c r="AK42" i="1"/>
  <c r="AM42" i="1" s="1"/>
  <c r="AO37" i="1"/>
  <c r="AN37" i="1"/>
  <c r="AO33" i="1"/>
  <c r="AN33" i="1"/>
  <c r="AO35" i="1"/>
  <c r="AN35" i="1"/>
  <c r="AK41" i="1"/>
  <c r="AM41" i="1" s="1"/>
  <c r="AF41" i="1"/>
  <c r="AE41" i="1"/>
  <c r="AO32" i="1"/>
  <c r="AN32" i="1"/>
  <c r="AK22" i="1"/>
  <c r="AM22" i="1" s="1"/>
  <c r="AF22" i="1"/>
  <c r="AE22" i="1"/>
  <c r="AN20" i="1"/>
  <c r="AO20" i="1"/>
  <c r="AK17" i="1"/>
  <c r="AM17" i="1" s="1"/>
  <c r="AE17" i="1"/>
  <c r="AF17" i="1"/>
  <c r="AK25" i="1"/>
  <c r="AM25" i="1" s="1"/>
  <c r="AF25" i="1"/>
  <c r="AE25" i="1"/>
  <c r="AF27" i="1"/>
  <c r="AE27" i="1"/>
  <c r="AK27" i="1"/>
  <c r="AM27" i="1" s="1"/>
  <c r="AO23" i="1"/>
  <c r="AN23" i="1"/>
  <c r="AN19" i="1"/>
  <c r="AO19" i="1"/>
  <c r="AO26" i="1"/>
  <c r="AN26" i="1"/>
  <c r="AK16" i="1"/>
  <c r="AM16" i="1" s="1"/>
  <c r="AE16" i="1"/>
  <c r="AF16" i="1"/>
  <c r="AN9" i="1"/>
  <c r="AO9" i="1"/>
  <c r="AK14" i="1"/>
  <c r="AM14" i="1" s="1"/>
  <c r="AF14" i="1"/>
  <c r="AE14" i="1"/>
  <c r="AO10" i="1"/>
  <c r="AN10" i="1"/>
  <c r="AK8" i="1"/>
  <c r="AM8" i="1" s="1"/>
  <c r="AF8" i="1"/>
  <c r="AE8" i="1"/>
  <c r="AO15" i="1"/>
  <c r="AN15" i="1"/>
  <c r="AF6" i="1"/>
  <c r="AE6" i="1"/>
  <c r="AK6" i="1"/>
  <c r="AM6" i="1" s="1"/>
  <c r="AK13" i="1"/>
  <c r="AM13" i="1" s="1"/>
  <c r="AF13" i="1"/>
  <c r="AE13" i="1"/>
  <c r="AO12" i="1"/>
  <c r="AN12" i="1"/>
  <c r="AK11" i="1"/>
  <c r="AM11" i="1" s="1"/>
  <c r="AF11" i="1"/>
  <c r="AE11" i="1"/>
  <c r="AN24" i="1" l="1"/>
  <c r="AN42" i="1"/>
  <c r="AO42" i="1"/>
  <c r="AO41" i="1"/>
  <c r="AN41" i="1"/>
  <c r="AO25" i="1"/>
  <c r="AN25" i="1"/>
  <c r="AO17" i="1"/>
  <c r="AN17" i="1"/>
  <c r="AO27" i="1"/>
  <c r="AN27" i="1"/>
  <c r="AO22" i="1"/>
  <c r="AN22" i="1"/>
  <c r="AO11" i="1"/>
  <c r="AN11" i="1"/>
  <c r="AO13" i="1"/>
  <c r="AN13" i="1"/>
  <c r="AO8" i="1"/>
  <c r="AN8" i="1"/>
  <c r="AO6" i="1"/>
  <c r="AO2" i="1" s="1"/>
  <c r="AN6" i="1"/>
  <c r="AN2" i="1" s="1"/>
  <c r="AO14" i="1"/>
  <c r="AN14" i="1"/>
  <c r="AO16" i="1"/>
  <c r="AN16" i="1"/>
</calcChain>
</file>

<file path=xl/sharedStrings.xml><?xml version="1.0" encoding="utf-8"?>
<sst xmlns="http://schemas.openxmlformats.org/spreadsheetml/2006/main" count="520" uniqueCount="198">
  <si>
    <t>Plant:</t>
  </si>
  <si>
    <t>VE01</t>
  </si>
  <si>
    <t>Date:</t>
  </si>
  <si>
    <t>24.Dec.25</t>
  </si>
  <si>
    <t>ZMV022</t>
  </si>
  <si>
    <t>Vendor stock</t>
  </si>
  <si>
    <t>Final scrap</t>
  </si>
  <si>
    <t>Fall stock</t>
  </si>
  <si>
    <t>Actual detail stock</t>
  </si>
  <si>
    <t>PSNV cost</t>
  </si>
  <si>
    <t>JP cost</t>
  </si>
  <si>
    <t>Reciving Sloc</t>
  </si>
  <si>
    <t>PSNV stock</t>
  </si>
  <si>
    <t>Vendor Raw stock</t>
  </si>
  <si>
    <t>Total Scrap</t>
  </si>
  <si>
    <t>No.</t>
  </si>
  <si>
    <t>Plant</t>
  </si>
  <si>
    <t>Material</t>
  </si>
  <si>
    <t>Name</t>
  </si>
  <si>
    <t>Cat</t>
  </si>
  <si>
    <t>Vendor</t>
  </si>
  <si>
    <t>MTyp</t>
  </si>
  <si>
    <t>PGr</t>
  </si>
  <si>
    <t>MRPC</t>
  </si>
  <si>
    <t>Vender Name</t>
  </si>
  <si>
    <t>Std Price</t>
  </si>
  <si>
    <t>Info Netpr
(Rate USD)</t>
  </si>
  <si>
    <t>PDT</t>
  </si>
  <si>
    <t>MOQ</t>
  </si>
  <si>
    <t>Detailed Reason &amp; action</t>
  </si>
  <si>
    <t>EOL</t>
  </si>
  <si>
    <t>BP 2026</t>
  </si>
  <si>
    <t>Time 
Already kept</t>
  </si>
  <si>
    <t>Stock</t>
  </si>
  <si>
    <t>Total 
P0</t>
  </si>
  <si>
    <t>Total PR</t>
  </si>
  <si>
    <t>Total 
RE</t>
  </si>
  <si>
    <t>FG qty</t>
  </si>
  <si>
    <t>FG amt</t>
  </si>
  <si>
    <t>Raw material amt</t>
  </si>
  <si>
    <t>Qty</t>
  </si>
  <si>
    <t>Amt</t>
  </si>
  <si>
    <t>Total Amount
(AC)</t>
  </si>
  <si>
    <t>Total Amount
(ST)</t>
  </si>
  <si>
    <t>AC Amt</t>
  </si>
  <si>
    <t>Issuing Sloc</t>
  </si>
  <si>
    <t>Actual Stock</t>
  </si>
  <si>
    <t>Scrap QTY</t>
  </si>
  <si>
    <t>Section</t>
  </si>
  <si>
    <t>SCRAP 
Qty</t>
  </si>
  <si>
    <t>Net AMT</t>
  </si>
  <si>
    <t>ST AMT</t>
  </si>
  <si>
    <t>DVLB2060ZA/X1</t>
  </si>
  <si>
    <t>PCB</t>
  </si>
  <si>
    <t>Camera</t>
  </si>
  <si>
    <t>VB011</t>
  </si>
  <si>
    <t>ROH</t>
  </si>
  <si>
    <t>E42</t>
  </si>
  <si>
    <t>PANASONIC HONG KONG CO. LTD-PGPRHK</t>
  </si>
  <si>
    <t xml:space="preserve">ECN_Must change from PMP 20250605-019 valid 02.07.2025 </t>
  </si>
  <si>
    <t>SMT</t>
  </si>
  <si>
    <t>1RE1DVLD1339ZA-1</t>
  </si>
  <si>
    <t>BG_FPC</t>
  </si>
  <si>
    <t>VB033</t>
  </si>
  <si>
    <t>E95</t>
  </si>
  <si>
    <t>E05</t>
  </si>
  <si>
    <t>PANASONIC AVC NETWORKS XIAMEN CO. LTD.</t>
  </si>
  <si>
    <t>ECN_ Change to use 10pcs _ 250822TND001</t>
  </si>
  <si>
    <t>DVQX2516WA/V1</t>
  </si>
  <si>
    <t>OPERATING INSTRUCTIONS (EN)</t>
  </si>
  <si>
    <t>VE001</t>
  </si>
  <si>
    <t>E18</t>
  </si>
  <si>
    <t>ABEISM VIETNAM CO. LTD</t>
  </si>
  <si>
    <t>ECN Must change_from MP 1st_Khanh  20250926-013  Valid 18.11.2025</t>
  </si>
  <si>
    <t>MCS</t>
  </si>
  <si>
    <t>DVQX2517WA/V1</t>
  </si>
  <si>
    <t>OPERATING INSTRUCTIONS (SP)</t>
  </si>
  <si>
    <t>F1J1H105A832</t>
  </si>
  <si>
    <t>CAPACITOR</t>
  </si>
  <si>
    <t>Sound</t>
  </si>
  <si>
    <t>VB014Y</t>
  </si>
  <si>
    <t>E01</t>
  </si>
  <si>
    <t>E4Y</t>
  </si>
  <si>
    <t>PANASONIC OPERATIONAL EXCELLENCE</t>
  </si>
  <si>
    <t>ECN small Amout-No Plan</t>
  </si>
  <si>
    <t>ERJ12YJ222U</t>
  </si>
  <si>
    <t>RESISTOR</t>
  </si>
  <si>
    <t>Or cũng thừa nhiều</t>
  </si>
  <si>
    <t>D0GA2R2JA023</t>
  </si>
  <si>
    <t>VA008</t>
  </si>
  <si>
    <t>E99</t>
  </si>
  <si>
    <t>PANASONIC CORPORATION</t>
  </si>
  <si>
    <t>D0GF681JA118</t>
  </si>
  <si>
    <t>VB003</t>
  </si>
  <si>
    <t>PANASONIC PROCUREMENT MALAYSIA</t>
  </si>
  <si>
    <t>ERJ3RBD153V</t>
  </si>
  <si>
    <t>7AA004AZAJ</t>
  </si>
  <si>
    <t>CUSHION</t>
  </si>
  <si>
    <t>E7Y</t>
  </si>
  <si>
    <t>D0GA333JA070</t>
  </si>
  <si>
    <t>VR đang dùng</t>
  </si>
  <si>
    <t>VR01</t>
  </si>
  <si>
    <t>PNLB2745ZA-GL</t>
  </si>
  <si>
    <t>CPU PCB</t>
  </si>
  <si>
    <t>DP</t>
  </si>
  <si>
    <t>VF171</t>
  </si>
  <si>
    <t>R95</t>
  </si>
  <si>
    <t>R19</t>
  </si>
  <si>
    <t>GULTECH (JIANGSU) ELECTRONICS</t>
  </si>
  <si>
    <t>ECN_ Running change halb PNLPMWD505K2YA to XA_ 250228-016A1 valid 08.08.2025, Change PCB to PNLB2745YA-GL</t>
  </si>
  <si>
    <t>COS giả trình</t>
  </si>
  <si>
    <t>PNYF1129XA8V163/V3</t>
  </si>
  <si>
    <t>LOWER CABINET</t>
  </si>
  <si>
    <t>Dect</t>
  </si>
  <si>
    <t>VE079</t>
  </si>
  <si>
    <t>R35</t>
  </si>
  <si>
    <t>VIETDRAGON PRECISION PLASTIC CO.</t>
  </si>
  <si>
    <t xml:space="preserve">ECN_ Change Halb </t>
  </si>
  <si>
    <t>PNPG4059000ZA/V1</t>
  </si>
  <si>
    <t>CARTON BOX</t>
  </si>
  <si>
    <t>VE116</t>
  </si>
  <si>
    <t>R44</t>
  </si>
  <si>
    <t>BRANCH OF OJITEX HAI PHONG CO.</t>
  </si>
  <si>
    <t>Trial-Using for VL-JW10-R1-V4, MP change to PNPG4059001ZA/V1</t>
  </si>
  <si>
    <t>F1R1H1R9A016</t>
  </si>
  <si>
    <t>CERAMIC CAPACITOR</t>
  </si>
  <si>
    <t>VF174Y</t>
  </si>
  <si>
    <t>R5Y</t>
  </si>
  <si>
    <t>RESTAR SUPPLY CHAIN SOLUTION</t>
  </si>
  <si>
    <t>ECN-change no 20250424-014 from 24.03.25, other factory no use</t>
  </si>
  <si>
    <t>PNYF1092ZA2W252/V2</t>
  </si>
  <si>
    <t>PNPG4001001ZA/V1</t>
  </si>
  <si>
    <t>VE041</t>
  </si>
  <si>
    <t>DYNAPAC (HANOI) CO. LTD</t>
  </si>
  <si>
    <t>ECN_ Must change_Dec.2025_Thuy/Tuyen 250804-014A1Valid 01.12.2025</t>
  </si>
  <si>
    <t>PNPG4001003ZA/V1</t>
  </si>
  <si>
    <t>ECN_ Must change_Dec.2025_Thuy/Tuyen 250804-014A2Valid 01.12.2025</t>
  </si>
  <si>
    <t>PNPK4369000ZA/V1</t>
  </si>
  <si>
    <t>Trial-Using for VL-JW10-R1-V4, MP change to PNPK4369001ZA/V1</t>
  </si>
  <si>
    <t>D0GA100JA070</t>
  </si>
  <si>
    <t>R18</t>
  </si>
  <si>
    <t>ECN-change or by TNA no 250109-PN002 from 14.04.2025</t>
  </si>
  <si>
    <t>D0GA302JA039</t>
  </si>
  <si>
    <t>R20</t>
  </si>
  <si>
    <t>VE có req VE cũng thừa quá nhiều</t>
  </si>
  <si>
    <t>PQHR11315ZB</t>
  </si>
  <si>
    <t>SPEAKER</t>
  </si>
  <si>
    <t>VB012</t>
  </si>
  <si>
    <t>PANASONIC SYSTEM NETWORKS MALAYSIA</t>
  </si>
  <si>
    <t>Trial-Using for VL-MWD700NTT-T1-V4</t>
  </si>
  <si>
    <t>V501</t>
  </si>
  <si>
    <t>B0JBSL000101</t>
  </si>
  <si>
    <t>DIODE</t>
  </si>
  <si>
    <t>RF</t>
  </si>
  <si>
    <t>VB013</t>
  </si>
  <si>
    <t>595</t>
  </si>
  <si>
    <t>516</t>
  </si>
  <si>
    <t>PANASONIC GLOBAL PROCUREMENT</t>
  </si>
  <si>
    <t>ECN small Amount-No Plan</t>
  </si>
  <si>
    <t>8170</t>
  </si>
  <si>
    <t>D0GB222ZA029</t>
  </si>
  <si>
    <t>56Y</t>
  </si>
  <si>
    <t>8210</t>
  </si>
  <si>
    <t>D0GB361JA041</t>
  </si>
  <si>
    <t>VF026</t>
  </si>
  <si>
    <t>514</t>
  </si>
  <si>
    <t>KOA DENKO (S) PTE. LTD.</t>
  </si>
  <si>
    <t>D0GF102JA026</t>
  </si>
  <si>
    <t>WM</t>
  </si>
  <si>
    <t>D0GF202ZA002</t>
  </si>
  <si>
    <t>596</t>
  </si>
  <si>
    <t>58Y</t>
  </si>
  <si>
    <t>D1BA1401A017</t>
  </si>
  <si>
    <t>D1BB1501A073</t>
  </si>
  <si>
    <t>VF046</t>
  </si>
  <si>
    <t>526</t>
  </si>
  <si>
    <t>TAI OHM ELECTRONICS (M) SDN. BHD.</t>
  </si>
  <si>
    <t>D1BB1601A055</t>
  </si>
  <si>
    <t>D1BB4701A055</t>
  </si>
  <si>
    <t>CHIP RESISTOR</t>
  </si>
  <si>
    <t>D1BB82R0A055</t>
  </si>
  <si>
    <t>ERJ2GEJ390X</t>
  </si>
  <si>
    <t>54Y</t>
  </si>
  <si>
    <t>ERJ3EKF3302V</t>
  </si>
  <si>
    <t>501</t>
  </si>
  <si>
    <t>ERJ3GEYJ152V</t>
  </si>
  <si>
    <t>F2A1H1000067</t>
  </si>
  <si>
    <t>57Y</t>
  </si>
  <si>
    <t>K5E502BZ0001</t>
  </si>
  <si>
    <t>FUSE</t>
  </si>
  <si>
    <t>IAF19567</t>
  </si>
  <si>
    <t>NG&amp;Deadstock</t>
  </si>
  <si>
    <t>9210</t>
  </si>
  <si>
    <t>9C20</t>
  </si>
  <si>
    <t>9S20</t>
  </si>
  <si>
    <t>1210</t>
  </si>
  <si>
    <t>1112</t>
  </si>
  <si>
    <t>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</si>
</sst>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000_);_(* \(#,##0.000000\);_(* &quot;-&quot;??_);_(@_)"/>
    <numFmt numFmtId="167" formatCode="_(* #,##0.00000_);_(* \(#,##0.00000\);_(* &quot;-&quot;??_);_(@_)"/>
    <numFmt numFmtId="168" formatCode="[$-409]d\-mmm\-yyyy;@"/>
    <numFmt numFmtId="169" formatCode="_-* #,##0_-;\-* #,##0_-;_-* &quot;-&quot;??_-;_-@_-"/>
    <numFmt numFmtId="170" formatCode="_(* #,##0.0000_);_(* \(#,##0.00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rgb="FF0000FF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rgb="FF0000FF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48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30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64" fontId="6" fillId="0" borderId="0" xfId="1" applyNumberFormat="1" applyFont="1"/>
    <xf numFmtId="164" fontId="7" fillId="0" borderId="0" xfId="1" applyNumberFormat="1" applyFont="1"/>
    <xf numFmtId="164" fontId="7" fillId="0" borderId="0" xfId="1" applyNumberFormat="1" applyFont="1" applyFill="1" applyAlignment="1"/>
    <xf numFmtId="164" fontId="7" fillId="0" borderId="0" xfId="1" applyNumberFormat="1" applyFont="1" applyAlignment="1">
      <alignment horizontal="center"/>
    </xf>
    <xf numFmtId="165" fontId="7" fillId="0" borderId="0" xfId="1" applyNumberFormat="1" applyFont="1"/>
    <xf numFmtId="43" fontId="6" fillId="0" borderId="0" xfId="1" applyFont="1" applyAlignment="1">
      <alignment vertical="center"/>
    </xf>
    <xf numFmtId="164" fontId="5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7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1" fillId="0" borderId="0" xfId="0" applyFont="1"/>
    <xf numFmtId="166" fontId="11" fillId="0" borderId="0" xfId="1" applyNumberFormat="1" applyFont="1"/>
    <xf numFmtId="164" fontId="11" fillId="0" borderId="0" xfId="1" applyNumberFormat="1" applyFont="1"/>
    <xf numFmtId="164" fontId="11" fillId="0" borderId="0" xfId="1" applyNumberFormat="1" applyFont="1" applyAlignment="1">
      <alignment wrapText="1"/>
    </xf>
    <xf numFmtId="164" fontId="10" fillId="0" borderId="0" xfId="1" applyNumberFormat="1" applyFont="1"/>
    <xf numFmtId="0" fontId="10" fillId="0" borderId="0" xfId="1" applyNumberFormat="1" applyFont="1"/>
    <xf numFmtId="0" fontId="10" fillId="0" borderId="0" xfId="0" applyFont="1"/>
    <xf numFmtId="167" fontId="12" fillId="0" borderId="0" xfId="1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1" applyNumberFormat="1" applyFont="1"/>
    <xf numFmtId="164" fontId="6" fillId="0" borderId="0" xfId="1" applyNumberFormat="1" applyFont="1" applyAlignment="1">
      <alignment vertical="center"/>
    </xf>
    <xf numFmtId="43" fontId="13" fillId="0" borderId="0" xfId="1" applyFont="1" applyAlignment="1">
      <alignment vertical="center"/>
    </xf>
    <xf numFmtId="43" fontId="8" fillId="0" borderId="0" xfId="1" applyFont="1" applyAlignment="1">
      <alignment vertical="center"/>
    </xf>
    <xf numFmtId="164" fontId="14" fillId="0" borderId="0" xfId="1" applyNumberFormat="1" applyFont="1" applyAlignment="1">
      <alignment vertical="center"/>
    </xf>
    <xf numFmtId="43" fontId="14" fillId="0" borderId="0" xfId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6" fontId="17" fillId="0" borderId="0" xfId="1" applyNumberFormat="1" applyFont="1" applyBorder="1" applyAlignment="1">
      <alignment vertical="center"/>
    </xf>
    <xf numFmtId="164" fontId="17" fillId="0" borderId="0" xfId="1" applyNumberFormat="1" applyFont="1" applyBorder="1" applyAlignment="1">
      <alignment vertical="center"/>
    </xf>
    <xf numFmtId="164" fontId="17" fillId="0" borderId="0" xfId="1" applyNumberFormat="1" applyFont="1" applyBorder="1" applyAlignment="1">
      <alignment vertical="center" wrapText="1"/>
    </xf>
    <xf numFmtId="164" fontId="18" fillId="0" borderId="0" xfId="1" applyNumberFormat="1" applyFont="1" applyBorder="1" applyAlignment="1">
      <alignment vertical="center"/>
    </xf>
    <xf numFmtId="164" fontId="15" fillId="0" borderId="0" xfId="1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vertical="center" wrapText="1"/>
    </xf>
    <xf numFmtId="0" fontId="18" fillId="0" borderId="4" xfId="0" applyFont="1" applyBorder="1" applyAlignment="1">
      <alignment vertical="center"/>
    </xf>
    <xf numFmtId="166" fontId="17" fillId="0" borderId="4" xfId="1" applyNumberFormat="1" applyFont="1" applyBorder="1" applyAlignment="1">
      <alignment vertical="center"/>
    </xf>
    <xf numFmtId="164" fontId="17" fillId="0" borderId="4" xfId="1" applyNumberFormat="1" applyFont="1" applyBorder="1" applyAlignment="1">
      <alignment vertical="center"/>
    </xf>
    <xf numFmtId="164" fontId="17" fillId="0" borderId="4" xfId="1" applyNumberFormat="1" applyFont="1" applyBorder="1" applyAlignment="1">
      <alignment vertical="center" wrapText="1"/>
    </xf>
    <xf numFmtId="164" fontId="18" fillId="0" borderId="4" xfId="1" applyNumberFormat="1" applyFont="1" applyBorder="1" applyAlignment="1">
      <alignment vertical="center"/>
    </xf>
    <xf numFmtId="164" fontId="15" fillId="0" borderId="4" xfId="1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66" fontId="19" fillId="0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 wrapText="1"/>
    </xf>
    <xf numFmtId="164" fontId="19" fillId="2" borderId="1" xfId="1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2" borderId="1" xfId="1" applyNumberFormat="1" applyFont="1" applyFill="1" applyBorder="1" applyAlignment="1">
      <alignment horizontal="center" vertical="center" wrapText="1"/>
    </xf>
    <xf numFmtId="43" fontId="19" fillId="2" borderId="1" xfId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64" fontId="19" fillId="5" borderId="1" xfId="1" applyNumberFormat="1" applyFont="1" applyFill="1" applyBorder="1" applyAlignment="1">
      <alignment horizontal="center" vertical="center" wrapText="1"/>
    </xf>
    <xf numFmtId="0" fontId="19" fillId="5" borderId="1" xfId="1" applyNumberFormat="1" applyFont="1" applyFill="1" applyBorder="1" applyAlignment="1">
      <alignment horizontal="center" vertical="center" wrapText="1"/>
    </xf>
    <xf numFmtId="164" fontId="19" fillId="6" borderId="1" xfId="1" applyNumberFormat="1" applyFont="1" applyFill="1" applyBorder="1" applyAlignment="1">
      <alignment horizontal="center" vertical="center" wrapText="1"/>
    </xf>
    <xf numFmtId="43" fontId="19" fillId="6" borderId="1" xfId="1" applyFont="1" applyFill="1" applyBorder="1" applyAlignment="1">
      <alignment horizontal="center" vertical="center" wrapText="1"/>
    </xf>
    <xf numFmtId="164" fontId="19" fillId="7" borderId="6" xfId="1" applyNumberFormat="1" applyFont="1" applyFill="1" applyBorder="1" applyAlignment="1">
      <alignment horizontal="center" vertical="center" wrapText="1"/>
    </xf>
    <xf numFmtId="164" fontId="19" fillId="7" borderId="1" xfId="1" applyNumberFormat="1" applyFont="1" applyFill="1" applyBorder="1" applyAlignment="1">
      <alignment horizontal="center" vertical="center" wrapText="1"/>
    </xf>
    <xf numFmtId="164" fontId="19" fillId="0" borderId="0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169" fontId="23" fillId="0" borderId="1" xfId="1" applyNumberFormat="1" applyFont="1" applyFill="1" applyBorder="1"/>
    <xf numFmtId="164" fontId="23" fillId="0" borderId="1" xfId="1" applyNumberFormat="1" applyFont="1" applyFill="1" applyBorder="1"/>
    <xf numFmtId="164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9" fillId="0" borderId="6" xfId="1" applyNumberFormat="1" applyFont="1" applyFill="1" applyBorder="1"/>
    <xf numFmtId="164" fontId="9" fillId="0" borderId="1" xfId="1" applyNumberFormat="1" applyFont="1" applyFill="1" applyBorder="1"/>
    <xf numFmtId="43" fontId="9" fillId="0" borderId="1" xfId="0" applyNumberFormat="1" applyFont="1" applyBorder="1"/>
    <xf numFmtId="43" fontId="9" fillId="0" borderId="0" xfId="0" applyNumberFormat="1" applyFont="1"/>
    <xf numFmtId="164" fontId="23" fillId="0" borderId="1" xfId="1" applyNumberFormat="1" applyFont="1" applyFill="1" applyBorder="1" applyAlignment="1">
      <alignment vertical="center" wrapText="1"/>
    </xf>
    <xf numFmtId="0" fontId="2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6" fontId="0" fillId="0" borderId="0" xfId="1" applyNumberFormat="1" applyFont="1"/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0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1" applyFont="1"/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169" fontId="0" fillId="0" borderId="1" xfId="1" applyNumberFormat="1" applyFont="1" applyBorder="1"/>
    <xf numFmtId="164" fontId="0" fillId="0" borderId="1" xfId="1" applyNumberFormat="1" applyFont="1" applyBorder="1"/>
    <xf numFmtId="164" fontId="24" fillId="0" borderId="1" xfId="1" applyNumberFormat="1" applyFont="1" applyFill="1" applyBorder="1" applyAlignment="1">
      <alignment vertical="center"/>
    </xf>
    <xf numFmtId="164" fontId="24" fillId="0" borderId="1" xfId="1" applyNumberFormat="1" applyFont="1" applyBorder="1" applyAlignment="1">
      <alignment vertical="center"/>
    </xf>
    <xf numFmtId="43" fontId="24" fillId="0" borderId="1" xfId="1" applyFont="1" applyBorder="1" applyAlignment="1">
      <alignment vertical="center"/>
    </xf>
    <xf numFmtId="0" fontId="2" fillId="0" borderId="1" xfId="0" applyFont="1" applyBorder="1"/>
    <xf numFmtId="0" fontId="24" fillId="0" borderId="1" xfId="0" applyFont="1" applyBorder="1" applyAlignment="1">
      <alignment horizontal="center" vertical="center"/>
    </xf>
    <xf numFmtId="43" fontId="15" fillId="0" borderId="0" xfId="0" applyNumberFormat="1" applyFont="1"/>
    <xf numFmtId="164" fontId="23" fillId="0" borderId="1" xfId="1" applyNumberFormat="1" applyFont="1" applyBorder="1" applyAlignment="1">
      <alignment vertical="center" wrapText="1"/>
    </xf>
    <xf numFmtId="0" fontId="15" fillId="0" borderId="0" xfId="0" applyFont="1"/>
    <xf numFmtId="169" fontId="0" fillId="0" borderId="1" xfId="1" applyNumberFormat="1" applyFont="1" applyFill="1" applyBorder="1"/>
    <xf numFmtId="43" fontId="24" fillId="0" borderId="1" xfId="1" applyFont="1" applyFill="1" applyBorder="1" applyAlignment="1">
      <alignment vertical="center"/>
    </xf>
    <xf numFmtId="16" fontId="2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170" fontId="22" fillId="0" borderId="1" xfId="1" applyNumberFormat="1" applyFont="1" applyBorder="1" applyAlignment="1">
      <alignment vertical="center"/>
    </xf>
    <xf numFmtId="164" fontId="22" fillId="0" borderId="1" xfId="1" applyNumberFormat="1" applyFont="1" applyBorder="1" applyAlignment="1">
      <alignment vertical="center"/>
    </xf>
    <xf numFmtId="164" fontId="22" fillId="0" borderId="1" xfId="1" applyNumberFormat="1" applyFont="1" applyBorder="1" applyAlignment="1">
      <alignment vertical="center" wrapText="1"/>
    </xf>
    <xf numFmtId="164" fontId="22" fillId="0" borderId="1" xfId="1" applyNumberFormat="1" applyFont="1" applyFill="1" applyBorder="1" applyAlignment="1">
      <alignment vertical="center"/>
    </xf>
    <xf numFmtId="43" fontId="22" fillId="0" borderId="1" xfId="1" applyFont="1" applyBorder="1" applyAlignment="1">
      <alignment vertical="center"/>
    </xf>
    <xf numFmtId="164" fontId="26" fillId="0" borderId="1" xfId="1" applyNumberFormat="1" applyFont="1" applyBorder="1" applyAlignment="1">
      <alignment vertical="center"/>
    </xf>
    <xf numFmtId="43" fontId="26" fillId="0" borderId="1" xfId="1" applyFont="1" applyBorder="1" applyAlignment="1">
      <alignment vertical="center"/>
    </xf>
    <xf numFmtId="164" fontId="26" fillId="0" borderId="1" xfId="1" applyNumberFormat="1" applyFont="1" applyFill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2" borderId="0" xfId="0" applyFont="1" applyFill="1"/>
    <xf numFmtId="0" fontId="27" fillId="2" borderId="0" xfId="0" applyFont="1" applyFill="1" applyAlignment="1">
      <alignment horizontal="left" wrapText="1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64" fontId="19" fillId="7" borderId="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1" fillId="2" borderId="1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15" fillId="4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.3_PUS%203\4.PUS3_%202013\02.Inventory\8.Monthly%20Inventory\2025\12.%20Dec.2025\SCRAP\2.Final%20Scrap%20list__VE01_22.Dec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.3_PUS%203\4.PUS3_%202013\02.Inventory\8.Monthly%20Inventory\2025\12.%20Dec.2025\SCRAP\3.Final%20Scrap%20list__VR01_22.Dec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 list 30.10"/>
      <sheetName val="Scrap list (2)"/>
      <sheetName val="zmv022"/>
      <sheetName val="zmv032"/>
      <sheetName val="Sheet1"/>
      <sheetName val="Transfer 311"/>
    </sheetNames>
    <sheetDataSet>
      <sheetData sheetId="0"/>
      <sheetData sheetId="1"/>
      <sheetData sheetId="2">
        <row r="1">
          <cell r="C1" t="str">
            <v>Material</v>
          </cell>
          <cell r="D1" t="str">
            <v>Material Description</v>
          </cell>
          <cell r="E1" t="str">
            <v>Vendor</v>
          </cell>
          <cell r="F1" t="str">
            <v>Vendor</v>
          </cell>
          <cell r="G1" t="str">
            <v>*</v>
          </cell>
          <cell r="H1" t="str">
            <v>PSc</v>
          </cell>
          <cell r="I1" t="str">
            <v>MTyp</v>
          </cell>
          <cell r="J1" t="str">
            <v>UOM</v>
          </cell>
          <cell r="K1" t="str">
            <v>Crcy</v>
          </cell>
          <cell r="L1" t="str">
            <v>ST</v>
          </cell>
          <cell r="M1" t="str">
            <v>LS</v>
          </cell>
          <cell r="N1" t="str">
            <v>Crcy</v>
          </cell>
          <cell r="O1" t="str">
            <v>OPU</v>
          </cell>
          <cell r="P1" t="str">
            <v>Vendor Mat</v>
          </cell>
          <cell r="Q1" t="str">
            <v>PGr</v>
          </cell>
          <cell r="R1" t="str">
            <v>PGr</v>
          </cell>
          <cell r="S1" t="str">
            <v>MRPC</v>
          </cell>
          <cell r="T1" t="str">
            <v>Vender Name</v>
          </cell>
          <cell r="U1" t="str">
            <v>Std Price</v>
          </cell>
          <cell r="V1" t="str">
            <v>per</v>
          </cell>
          <cell r="W1" t="str">
            <v>GRT</v>
          </cell>
          <cell r="X1" t="str">
            <v>Quota %</v>
          </cell>
          <cell r="Y1" t="str">
            <v xml:space="preserve"> Info Netpr(New)</v>
          </cell>
          <cell r="Z1" t="str">
            <v>Per</v>
          </cell>
          <cell r="AA1" t="str">
            <v>PDT</v>
          </cell>
          <cell r="AB1" t="str">
            <v>B/F Inventory</v>
          </cell>
          <cell r="AC1" t="str">
            <v>Inventory</v>
          </cell>
          <cell r="AD1" t="str">
            <v>Inv.Amount</v>
          </cell>
          <cell r="AE1" t="str">
            <v>Prev. Mo</v>
          </cell>
          <cell r="AF1" t="str">
            <v>Prev. Mo</v>
          </cell>
          <cell r="AG1" t="str">
            <v>Previous Months</v>
          </cell>
          <cell r="AH1">
            <v>45992</v>
          </cell>
          <cell r="AI1">
            <v>45992</v>
          </cell>
          <cell r="AJ1">
            <v>45992</v>
          </cell>
          <cell r="AK1">
            <v>46023</v>
          </cell>
          <cell r="AL1">
            <v>46023</v>
          </cell>
          <cell r="AM1">
            <v>46023</v>
          </cell>
          <cell r="AN1">
            <v>46054</v>
          </cell>
          <cell r="AO1">
            <v>46054</v>
          </cell>
          <cell r="AP1">
            <v>46054</v>
          </cell>
          <cell r="AQ1">
            <v>46082</v>
          </cell>
          <cell r="AR1">
            <v>46082</v>
          </cell>
          <cell r="AS1">
            <v>46082</v>
          </cell>
          <cell r="AT1">
            <v>46113</v>
          </cell>
          <cell r="AU1">
            <v>46113</v>
          </cell>
          <cell r="AV1">
            <v>46113</v>
          </cell>
          <cell r="AW1">
            <v>46143</v>
          </cell>
          <cell r="AX1">
            <v>46143</v>
          </cell>
          <cell r="AY1">
            <v>46143</v>
          </cell>
          <cell r="AZ1">
            <v>46174</v>
          </cell>
          <cell r="BA1">
            <v>46174</v>
          </cell>
          <cell r="BB1">
            <v>46174</v>
          </cell>
          <cell r="BC1">
            <v>46204</v>
          </cell>
          <cell r="BD1">
            <v>46204</v>
          </cell>
          <cell r="BE1">
            <v>46204</v>
          </cell>
          <cell r="BF1">
            <v>46235</v>
          </cell>
          <cell r="BG1">
            <v>46235</v>
          </cell>
          <cell r="BH1">
            <v>46235</v>
          </cell>
          <cell r="BI1">
            <v>46266</v>
          </cell>
          <cell r="BJ1">
            <v>46266</v>
          </cell>
          <cell r="BK1">
            <v>46266</v>
          </cell>
          <cell r="BL1">
            <v>46296</v>
          </cell>
          <cell r="BM1">
            <v>46296</v>
          </cell>
          <cell r="BN1">
            <v>46296</v>
          </cell>
          <cell r="BO1">
            <v>46327</v>
          </cell>
          <cell r="BP1">
            <v>46327</v>
          </cell>
          <cell r="BQ1">
            <v>46327</v>
          </cell>
          <cell r="BR1" t="str">
            <v>Fwd. Mon</v>
          </cell>
          <cell r="BS1" t="str">
            <v>Forward Months</v>
          </cell>
          <cell r="BT1" t="str">
            <v>Forward Months</v>
          </cell>
          <cell r="BU1" t="str">
            <v>In house stock</v>
          </cell>
          <cell r="BV1" t="str">
            <v>Consignment stock</v>
          </cell>
          <cell r="BW1" t="str">
            <v>Blocked stock</v>
          </cell>
          <cell r="BX1" t="str">
            <v>Out of scope for MRP</v>
          </cell>
          <cell r="BY1" t="str">
            <v>Safety Stock</v>
          </cell>
          <cell r="BZ1" t="str">
            <v xml:space="preserve"> Info Netpr_Old</v>
          </cell>
          <cell r="CA1" t="str">
            <v xml:space="preserve"> Info Netpr(New)</v>
          </cell>
          <cell r="CB1" t="str">
            <v>Total PO</v>
          </cell>
          <cell r="CC1" t="str">
            <v>Total PR</v>
          </cell>
          <cell r="CD1" t="str">
            <v>Total requirement</v>
          </cell>
        </row>
        <row r="2">
          <cell r="C2" t="str">
            <v>1RE1DVLD1339ZA-1</v>
          </cell>
          <cell r="D2" t="str">
            <v>BG_FPC</v>
          </cell>
          <cell r="E2" t="str">
            <v>VB033</v>
          </cell>
          <cell r="F2" t="str">
            <v>VB033</v>
          </cell>
          <cell r="G2" t="str">
            <v>00</v>
          </cell>
          <cell r="H2" t="str">
            <v>000</v>
          </cell>
          <cell r="I2" t="str">
            <v>ROH</v>
          </cell>
          <cell r="J2" t="str">
            <v>PC</v>
          </cell>
          <cell r="K2" t="str">
            <v>USD</v>
          </cell>
          <cell r="L2" t="str">
            <v>00</v>
          </cell>
          <cell r="M2" t="str">
            <v>W1</v>
          </cell>
          <cell r="N2" t="str">
            <v>USD</v>
          </cell>
          <cell r="O2" t="str">
            <v>PC</v>
          </cell>
          <cell r="P2" t="str">
            <v/>
          </cell>
          <cell r="Q2" t="str">
            <v>E05</v>
          </cell>
          <cell r="R2" t="str">
            <v>E95</v>
          </cell>
          <cell r="S2" t="str">
            <v>E05</v>
          </cell>
          <cell r="T2" t="str">
            <v>PANASONIC AVC NETWORKS XIAMEN CO. LTD.</v>
          </cell>
          <cell r="U2">
            <v>2410</v>
          </cell>
          <cell r="V2">
            <v>1000</v>
          </cell>
          <cell r="W2">
            <v>2</v>
          </cell>
          <cell r="X2">
            <v>100</v>
          </cell>
          <cell r="Y2">
            <v>2410</v>
          </cell>
          <cell r="Z2">
            <v>1000</v>
          </cell>
          <cell r="AA2">
            <v>74</v>
          </cell>
          <cell r="AB2">
            <v>3</v>
          </cell>
          <cell r="AC2">
            <v>3</v>
          </cell>
          <cell r="AD2">
            <v>7.23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3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2410</v>
          </cell>
          <cell r="CA2">
            <v>2410</v>
          </cell>
          <cell r="CB2">
            <v>0</v>
          </cell>
          <cell r="CC2">
            <v>0</v>
          </cell>
          <cell r="CD2">
            <v>0</v>
          </cell>
        </row>
        <row r="3">
          <cell r="C3" t="str">
            <v>7AA004AZAJ</v>
          </cell>
          <cell r="D3" t="str">
            <v>CUSHION</v>
          </cell>
          <cell r="E3" t="str">
            <v>VB014Y</v>
          </cell>
          <cell r="F3" t="str">
            <v>VB014Y</v>
          </cell>
          <cell r="G3" t="str">
            <v>00</v>
          </cell>
          <cell r="H3" t="str">
            <v>000</v>
          </cell>
          <cell r="I3" t="str">
            <v>ROH</v>
          </cell>
          <cell r="J3" t="str">
            <v>PC</v>
          </cell>
          <cell r="K3" t="str">
            <v>USD</v>
          </cell>
          <cell r="L3" t="str">
            <v>00</v>
          </cell>
          <cell r="M3" t="str">
            <v>MB</v>
          </cell>
          <cell r="N3" t="str">
            <v>JPY</v>
          </cell>
          <cell r="O3" t="str">
            <v>PC</v>
          </cell>
          <cell r="P3" t="str">
            <v/>
          </cell>
          <cell r="Q3" t="str">
            <v>E7Y</v>
          </cell>
          <cell r="R3" t="str">
            <v>E7Y</v>
          </cell>
          <cell r="S3" t="str">
            <v>E7Y</v>
          </cell>
          <cell r="T3" t="str">
            <v>PANASONIC OPERATIONAL EXCELLENCE</v>
          </cell>
          <cell r="U3">
            <v>7.34</v>
          </cell>
          <cell r="V3">
            <v>1000</v>
          </cell>
          <cell r="W3">
            <v>2</v>
          </cell>
          <cell r="X3">
            <v>100</v>
          </cell>
          <cell r="Y3">
            <v>6.6688311688311686</v>
          </cell>
          <cell r="Z3">
            <v>1000</v>
          </cell>
          <cell r="AA3">
            <v>43</v>
          </cell>
          <cell r="AB3">
            <v>23</v>
          </cell>
          <cell r="AC3">
            <v>3</v>
          </cell>
          <cell r="AD3">
            <v>0.02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23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1027</v>
          </cell>
          <cell r="CA3">
            <v>6.6688311688311686</v>
          </cell>
          <cell r="CB3">
            <v>0</v>
          </cell>
          <cell r="CC3">
            <v>0</v>
          </cell>
          <cell r="CD3">
            <v>0</v>
          </cell>
        </row>
        <row r="4">
          <cell r="C4" t="str">
            <v>D0GA2R2JA023</v>
          </cell>
          <cell r="D4" t="str">
            <v>RESISTOR</v>
          </cell>
          <cell r="E4" t="str">
            <v>VA008</v>
          </cell>
          <cell r="F4" t="str">
            <v>VA008</v>
          </cell>
          <cell r="G4" t="str">
            <v>00</v>
          </cell>
          <cell r="H4" t="str">
            <v>000</v>
          </cell>
          <cell r="I4" t="str">
            <v>ROH</v>
          </cell>
          <cell r="J4" t="str">
            <v>PC</v>
          </cell>
          <cell r="K4" t="str">
            <v>USD</v>
          </cell>
          <cell r="L4" t="str">
            <v>00</v>
          </cell>
          <cell r="M4" t="str">
            <v>W1</v>
          </cell>
          <cell r="N4" t="str">
            <v>USD</v>
          </cell>
          <cell r="O4" t="str">
            <v>PC</v>
          </cell>
          <cell r="P4" t="str">
            <v/>
          </cell>
          <cell r="Q4" t="str">
            <v>E99</v>
          </cell>
          <cell r="R4" t="str">
            <v>E99</v>
          </cell>
          <cell r="S4" t="str">
            <v>E99</v>
          </cell>
          <cell r="T4" t="str">
            <v>PANASONIC CORPORATION</v>
          </cell>
          <cell r="U4">
            <v>0.28000000000000003</v>
          </cell>
          <cell r="V4">
            <v>1000</v>
          </cell>
          <cell r="W4">
            <v>2</v>
          </cell>
          <cell r="X4">
            <v>100</v>
          </cell>
          <cell r="Y4">
            <v>10</v>
          </cell>
          <cell r="Z4">
            <v>1000</v>
          </cell>
          <cell r="AA4">
            <v>14</v>
          </cell>
          <cell r="AB4">
            <v>70</v>
          </cell>
          <cell r="AC4">
            <v>70</v>
          </cell>
          <cell r="AD4">
            <v>0.02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70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10</v>
          </cell>
          <cell r="CA4">
            <v>10</v>
          </cell>
          <cell r="CB4">
            <v>0</v>
          </cell>
          <cell r="CC4">
            <v>0</v>
          </cell>
          <cell r="CD4">
            <v>0</v>
          </cell>
        </row>
        <row r="5">
          <cell r="C5" t="str">
            <v>D0GA333JA070</v>
          </cell>
          <cell r="D5" t="str">
            <v>RESISTOR</v>
          </cell>
          <cell r="E5" t="str">
            <v>VB003</v>
          </cell>
          <cell r="F5" t="str">
            <v>VB003</v>
          </cell>
          <cell r="G5" t="str">
            <v>00</v>
          </cell>
          <cell r="H5" t="str">
            <v>000</v>
          </cell>
          <cell r="I5" t="str">
            <v>ROH</v>
          </cell>
          <cell r="J5" t="str">
            <v>PC</v>
          </cell>
          <cell r="K5" t="str">
            <v>USD</v>
          </cell>
          <cell r="L5" t="str">
            <v>00</v>
          </cell>
          <cell r="M5" t="str">
            <v>MB</v>
          </cell>
          <cell r="N5" t="str">
            <v>USD</v>
          </cell>
          <cell r="O5" t="str">
            <v>PC</v>
          </cell>
          <cell r="P5" t="str">
            <v/>
          </cell>
          <cell r="Q5" t="str">
            <v>E18</v>
          </cell>
          <cell r="R5" t="str">
            <v>E95</v>
          </cell>
          <cell r="S5" t="str">
            <v>E18</v>
          </cell>
          <cell r="T5" t="str">
            <v>PANASONIC PROCUREMENT MALAYSIA</v>
          </cell>
          <cell r="U5">
            <v>0.26</v>
          </cell>
          <cell r="V5">
            <v>1000</v>
          </cell>
          <cell r="W5">
            <v>2</v>
          </cell>
          <cell r="X5">
            <v>100</v>
          </cell>
          <cell r="Y5">
            <v>0.26</v>
          </cell>
          <cell r="Z5">
            <v>1000</v>
          </cell>
          <cell r="AA5">
            <v>81</v>
          </cell>
          <cell r="AB5">
            <v>39</v>
          </cell>
          <cell r="AC5">
            <v>39</v>
          </cell>
          <cell r="AD5">
            <v>0.01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39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0.26</v>
          </cell>
          <cell r="CA5">
            <v>0.26</v>
          </cell>
          <cell r="CB5">
            <v>0</v>
          </cell>
          <cell r="CC5">
            <v>0</v>
          </cell>
          <cell r="CD5">
            <v>0</v>
          </cell>
        </row>
        <row r="6">
          <cell r="C6" t="str">
            <v>D0GF681JA118</v>
          </cell>
          <cell r="D6" t="str">
            <v>RESISTOR</v>
          </cell>
          <cell r="E6" t="str">
            <v>VB003</v>
          </cell>
          <cell r="F6" t="str">
            <v>VB003</v>
          </cell>
          <cell r="G6" t="str">
            <v>00</v>
          </cell>
          <cell r="H6" t="str">
            <v>000</v>
          </cell>
          <cell r="I6" t="str">
            <v>ROH</v>
          </cell>
          <cell r="J6" t="str">
            <v>PC</v>
          </cell>
          <cell r="K6" t="str">
            <v>USD</v>
          </cell>
          <cell r="L6" t="str">
            <v>00</v>
          </cell>
          <cell r="M6" t="str">
            <v>MB</v>
          </cell>
          <cell r="N6" t="str">
            <v>USD</v>
          </cell>
          <cell r="O6" t="str">
            <v>PC</v>
          </cell>
          <cell r="P6" t="str">
            <v/>
          </cell>
          <cell r="Q6" t="str">
            <v>E18</v>
          </cell>
          <cell r="R6" t="str">
            <v>E95</v>
          </cell>
          <cell r="S6" t="str">
            <v>E18</v>
          </cell>
          <cell r="T6" t="str">
            <v>PANASONIC PROCUREMENT MALAYSIA</v>
          </cell>
          <cell r="U6">
            <v>1.18</v>
          </cell>
          <cell r="V6">
            <v>1000</v>
          </cell>
          <cell r="W6">
            <v>2</v>
          </cell>
          <cell r="X6">
            <v>100</v>
          </cell>
          <cell r="Y6">
            <v>1.18</v>
          </cell>
          <cell r="Z6">
            <v>1000</v>
          </cell>
          <cell r="AA6">
            <v>81</v>
          </cell>
          <cell r="AB6">
            <v>119</v>
          </cell>
          <cell r="AC6">
            <v>119</v>
          </cell>
          <cell r="AD6">
            <v>0.14000000000000001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119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1.18</v>
          </cell>
          <cell r="CA6">
            <v>1.18</v>
          </cell>
          <cell r="CB6">
            <v>0</v>
          </cell>
          <cell r="CC6">
            <v>0</v>
          </cell>
          <cell r="CD6">
            <v>0</v>
          </cell>
        </row>
        <row r="7">
          <cell r="C7" t="str">
            <v>DVLB2060ZA/X1</v>
          </cell>
          <cell r="D7" t="str">
            <v>PCB</v>
          </cell>
          <cell r="E7" t="str">
            <v>VB011</v>
          </cell>
          <cell r="F7" t="str">
            <v>VB011</v>
          </cell>
          <cell r="G7" t="str">
            <v>00</v>
          </cell>
          <cell r="H7" t="str">
            <v>000</v>
          </cell>
          <cell r="I7" t="str">
            <v>ROH</v>
          </cell>
          <cell r="J7" t="str">
            <v>PC</v>
          </cell>
          <cell r="K7" t="str">
            <v>USD</v>
          </cell>
          <cell r="L7" t="str">
            <v>00</v>
          </cell>
          <cell r="M7" t="str">
            <v>W1</v>
          </cell>
          <cell r="N7" t="str">
            <v>USD</v>
          </cell>
          <cell r="O7" t="str">
            <v>PC</v>
          </cell>
          <cell r="P7" t="str">
            <v/>
          </cell>
          <cell r="Q7" t="str">
            <v>E42</v>
          </cell>
          <cell r="R7" t="str">
            <v>E42</v>
          </cell>
          <cell r="S7" t="str">
            <v>E42</v>
          </cell>
          <cell r="T7" t="str">
            <v>PANASONIC HONG KONG CO. LTD-PGPRHK</v>
          </cell>
          <cell r="U7">
            <v>1510</v>
          </cell>
          <cell r="V7">
            <v>1000</v>
          </cell>
          <cell r="W7">
            <v>2</v>
          </cell>
          <cell r="X7">
            <v>100</v>
          </cell>
          <cell r="Y7">
            <v>1397.87</v>
          </cell>
          <cell r="Z7">
            <v>1000</v>
          </cell>
          <cell r="AA7">
            <v>73</v>
          </cell>
          <cell r="AB7">
            <v>24</v>
          </cell>
          <cell r="AC7">
            <v>24</v>
          </cell>
          <cell r="AD7">
            <v>36.24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24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1397.87</v>
          </cell>
          <cell r="CA7">
            <v>1397.87</v>
          </cell>
          <cell r="CB7">
            <v>0</v>
          </cell>
          <cell r="CC7">
            <v>0</v>
          </cell>
          <cell r="CD7">
            <v>0</v>
          </cell>
        </row>
        <row r="8">
          <cell r="C8" t="str">
            <v>DVQX2516WA/V1</v>
          </cell>
          <cell r="D8" t="str">
            <v>OPERATING INSTRUCTIONS (EN)</v>
          </cell>
          <cell r="E8" t="str">
            <v>VE001</v>
          </cell>
          <cell r="F8" t="str">
            <v>VE001</v>
          </cell>
          <cell r="G8" t="str">
            <v>00</v>
          </cell>
          <cell r="H8" t="str">
            <v>000</v>
          </cell>
          <cell r="I8" t="str">
            <v>ROH</v>
          </cell>
          <cell r="J8" t="str">
            <v>PC</v>
          </cell>
          <cell r="K8" t="str">
            <v>USD</v>
          </cell>
          <cell r="L8" t="str">
            <v>00</v>
          </cell>
          <cell r="M8" t="str">
            <v>D1</v>
          </cell>
          <cell r="N8" t="str">
            <v>USD</v>
          </cell>
          <cell r="O8" t="str">
            <v>PC</v>
          </cell>
          <cell r="P8" t="str">
            <v/>
          </cell>
          <cell r="Q8" t="str">
            <v>E18</v>
          </cell>
          <cell r="R8" t="str">
            <v>E18</v>
          </cell>
          <cell r="S8" t="str">
            <v>E18</v>
          </cell>
          <cell r="T8" t="str">
            <v>ABEISM VIETNAM CO. LTD</v>
          </cell>
          <cell r="U8">
            <v>58.01</v>
          </cell>
          <cell r="V8">
            <v>1000</v>
          </cell>
          <cell r="W8">
            <v>1</v>
          </cell>
          <cell r="X8">
            <v>100</v>
          </cell>
          <cell r="Y8">
            <v>58.01</v>
          </cell>
          <cell r="Z8">
            <v>1000</v>
          </cell>
          <cell r="AA8">
            <v>14</v>
          </cell>
          <cell r="AB8">
            <v>44</v>
          </cell>
          <cell r="AC8">
            <v>44</v>
          </cell>
          <cell r="AD8">
            <v>2.5499999999999998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44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58.01</v>
          </cell>
          <cell r="CA8">
            <v>58.01</v>
          </cell>
          <cell r="CB8">
            <v>0</v>
          </cell>
          <cell r="CC8">
            <v>0</v>
          </cell>
          <cell r="CD8">
            <v>0</v>
          </cell>
        </row>
        <row r="9">
          <cell r="C9" t="str">
            <v>DVQX2517WA/V1</v>
          </cell>
          <cell r="D9" t="str">
            <v>OPERATING INSTRUCTIONS (SP)</v>
          </cell>
          <cell r="E9" t="str">
            <v>VE001</v>
          </cell>
          <cell r="F9" t="str">
            <v>VE001</v>
          </cell>
          <cell r="G9" t="str">
            <v>00</v>
          </cell>
          <cell r="H9" t="str">
            <v>000</v>
          </cell>
          <cell r="I9" t="str">
            <v>ROH</v>
          </cell>
          <cell r="J9" t="str">
            <v>PC</v>
          </cell>
          <cell r="K9" t="str">
            <v>USD</v>
          </cell>
          <cell r="L9" t="str">
            <v>00</v>
          </cell>
          <cell r="M9" t="str">
            <v>D1</v>
          </cell>
          <cell r="N9" t="str">
            <v>USD</v>
          </cell>
          <cell r="O9" t="str">
            <v>PC</v>
          </cell>
          <cell r="P9" t="str">
            <v/>
          </cell>
          <cell r="Q9" t="str">
            <v>E18</v>
          </cell>
          <cell r="R9" t="str">
            <v>E18</v>
          </cell>
          <cell r="S9" t="str">
            <v>E18</v>
          </cell>
          <cell r="T9" t="str">
            <v>ABEISM VIETNAM CO. LTD</v>
          </cell>
          <cell r="U9">
            <v>58.01</v>
          </cell>
          <cell r="V9">
            <v>1000</v>
          </cell>
          <cell r="W9">
            <v>1</v>
          </cell>
          <cell r="X9">
            <v>100</v>
          </cell>
          <cell r="Y9">
            <v>58.01</v>
          </cell>
          <cell r="Z9">
            <v>1000</v>
          </cell>
          <cell r="AA9">
            <v>14</v>
          </cell>
          <cell r="AB9">
            <v>44</v>
          </cell>
          <cell r="AC9">
            <v>44</v>
          </cell>
          <cell r="AD9">
            <v>2.5499999999999998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44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58.01</v>
          </cell>
          <cell r="CA9">
            <v>58.01</v>
          </cell>
          <cell r="CB9">
            <v>0</v>
          </cell>
          <cell r="CC9">
            <v>0</v>
          </cell>
          <cell r="CD9">
            <v>0</v>
          </cell>
        </row>
        <row r="10">
          <cell r="C10" t="str">
            <v>ERJ12YJ222U</v>
          </cell>
          <cell r="D10" t="str">
            <v>RESISTOR</v>
          </cell>
          <cell r="E10" t="str">
            <v>VB014Y</v>
          </cell>
          <cell r="F10" t="str">
            <v>VB014Y</v>
          </cell>
          <cell r="G10" t="str">
            <v>00</v>
          </cell>
          <cell r="H10" t="str">
            <v>000</v>
          </cell>
          <cell r="I10" t="str">
            <v>ROH</v>
          </cell>
          <cell r="J10" t="str">
            <v>PC</v>
          </cell>
          <cell r="K10" t="str">
            <v>USD</v>
          </cell>
          <cell r="L10" t="str">
            <v>00</v>
          </cell>
          <cell r="M10" t="str">
            <v>W1</v>
          </cell>
          <cell r="N10" t="str">
            <v>JPY</v>
          </cell>
          <cell r="O10" t="str">
            <v>PC</v>
          </cell>
          <cell r="P10" t="str">
            <v/>
          </cell>
          <cell r="Q10" t="str">
            <v>E6Y</v>
          </cell>
          <cell r="R10" t="str">
            <v>E01</v>
          </cell>
          <cell r="S10" t="str">
            <v>E4Y</v>
          </cell>
          <cell r="T10" t="str">
            <v>PANASONIC OPERATIONAL EXCELLENCE</v>
          </cell>
          <cell r="U10">
            <v>7.41</v>
          </cell>
          <cell r="V10">
            <v>1000</v>
          </cell>
          <cell r="W10">
            <v>2</v>
          </cell>
          <cell r="X10">
            <v>100</v>
          </cell>
          <cell r="Y10">
            <v>6.7337662337662341</v>
          </cell>
          <cell r="Z10">
            <v>1000</v>
          </cell>
          <cell r="AA10">
            <v>101</v>
          </cell>
          <cell r="AB10">
            <v>128</v>
          </cell>
          <cell r="AC10">
            <v>128</v>
          </cell>
          <cell r="AD10">
            <v>0.95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128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1037</v>
          </cell>
          <cell r="CA10">
            <v>6.7337662337662341</v>
          </cell>
          <cell r="CB10">
            <v>0</v>
          </cell>
          <cell r="CC10">
            <v>0</v>
          </cell>
          <cell r="CD10">
            <v>0</v>
          </cell>
        </row>
        <row r="11">
          <cell r="C11" t="str">
            <v>ERJ3RBD153V</v>
          </cell>
          <cell r="D11" t="str">
            <v>RESISTOR</v>
          </cell>
          <cell r="E11" t="str">
            <v>VB014Y</v>
          </cell>
          <cell r="F11" t="str">
            <v>VB014Y</v>
          </cell>
          <cell r="G11" t="str">
            <v>00</v>
          </cell>
          <cell r="H11" t="str">
            <v>000</v>
          </cell>
          <cell r="I11" t="str">
            <v>ROH</v>
          </cell>
          <cell r="J11" t="str">
            <v>PC</v>
          </cell>
          <cell r="K11" t="str">
            <v>USD</v>
          </cell>
          <cell r="L11" t="str">
            <v>00</v>
          </cell>
          <cell r="M11" t="str">
            <v>W1</v>
          </cell>
          <cell r="N11" t="str">
            <v>JPY</v>
          </cell>
          <cell r="O11" t="str">
            <v>PC</v>
          </cell>
          <cell r="P11" t="str">
            <v/>
          </cell>
          <cell r="Q11" t="str">
            <v>E2Y</v>
          </cell>
          <cell r="R11" t="str">
            <v>E01</v>
          </cell>
          <cell r="S11" t="str">
            <v>E4Y</v>
          </cell>
          <cell r="T11" t="str">
            <v>PANASONIC OPERATIONAL EXCELLENCE</v>
          </cell>
          <cell r="U11">
            <v>1.32</v>
          </cell>
          <cell r="V11">
            <v>1000</v>
          </cell>
          <cell r="W11">
            <v>2</v>
          </cell>
          <cell r="X11">
            <v>100</v>
          </cell>
          <cell r="Y11">
            <v>1.2012987012987013</v>
          </cell>
          <cell r="Z11">
            <v>1000</v>
          </cell>
          <cell r="AA11">
            <v>73</v>
          </cell>
          <cell r="AB11">
            <v>86</v>
          </cell>
          <cell r="AC11">
            <v>86</v>
          </cell>
          <cell r="AD11">
            <v>0.11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86</v>
          </cell>
          <cell r="BV11">
            <v>0</v>
          </cell>
          <cell r="BW11">
            <v>0</v>
          </cell>
          <cell r="BX11">
            <v>5</v>
          </cell>
          <cell r="BY11">
            <v>0</v>
          </cell>
          <cell r="BZ11">
            <v>185</v>
          </cell>
          <cell r="CA11">
            <v>1.2012987012987013</v>
          </cell>
          <cell r="CB11">
            <v>0</v>
          </cell>
          <cell r="CC11">
            <v>0</v>
          </cell>
          <cell r="CD11">
            <v>0</v>
          </cell>
        </row>
        <row r="12">
          <cell r="C12" t="str">
            <v>F1J1H105A832</v>
          </cell>
          <cell r="D12" t="str">
            <v>CAPACITOR</v>
          </cell>
          <cell r="E12" t="str">
            <v>VB014Y</v>
          </cell>
          <cell r="F12" t="str">
            <v>VB014Y</v>
          </cell>
          <cell r="G12" t="str">
            <v>00</v>
          </cell>
          <cell r="H12" t="str">
            <v>000</v>
          </cell>
          <cell r="I12" t="str">
            <v>ROH</v>
          </cell>
          <cell r="J12" t="str">
            <v>PC</v>
          </cell>
          <cell r="K12" t="str">
            <v>USD</v>
          </cell>
          <cell r="L12" t="str">
            <v>00</v>
          </cell>
          <cell r="M12" t="str">
            <v>M3</v>
          </cell>
          <cell r="N12" t="str">
            <v>JPY</v>
          </cell>
          <cell r="O12" t="str">
            <v>PC</v>
          </cell>
          <cell r="P12" t="str">
            <v/>
          </cell>
          <cell r="Q12" t="str">
            <v>E2Y</v>
          </cell>
          <cell r="R12" t="str">
            <v>E01</v>
          </cell>
          <cell r="S12" t="str">
            <v>E4Y</v>
          </cell>
          <cell r="T12" t="str">
            <v>PANASONIC OPERATIONAL EXCELLENCE</v>
          </cell>
          <cell r="U12">
            <v>23.84</v>
          </cell>
          <cell r="V12">
            <v>1000</v>
          </cell>
          <cell r="W12">
            <v>2</v>
          </cell>
          <cell r="X12">
            <v>100</v>
          </cell>
          <cell r="Y12">
            <v>21.668831168831169</v>
          </cell>
          <cell r="Z12">
            <v>1000</v>
          </cell>
          <cell r="AA12">
            <v>179</v>
          </cell>
          <cell r="AB12">
            <v>55</v>
          </cell>
          <cell r="AC12">
            <v>55</v>
          </cell>
          <cell r="AD12">
            <v>1.31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55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3337</v>
          </cell>
          <cell r="CA12">
            <v>21.668831168831169</v>
          </cell>
          <cell r="CB12">
            <v>0</v>
          </cell>
          <cell r="CC12">
            <v>0</v>
          </cell>
          <cell r="CD12">
            <v>0</v>
          </cell>
        </row>
        <row r="13">
          <cell r="C13" t="str">
            <v>G1C5N6ZA0068</v>
          </cell>
          <cell r="D13" t="str">
            <v>INDUCTOR</v>
          </cell>
          <cell r="E13" t="str">
            <v>VF174Y</v>
          </cell>
          <cell r="F13" t="str">
            <v>VF174Y</v>
          </cell>
          <cell r="G13" t="str">
            <v>00</v>
          </cell>
          <cell r="H13" t="str">
            <v>000</v>
          </cell>
          <cell r="I13" t="str">
            <v>ROH</v>
          </cell>
          <cell r="J13" t="str">
            <v>PC</v>
          </cell>
          <cell r="K13" t="str">
            <v>USD</v>
          </cell>
          <cell r="L13" t="str">
            <v>00</v>
          </cell>
          <cell r="M13" t="str">
            <v>W1</v>
          </cell>
          <cell r="N13" t="str">
            <v>JPY</v>
          </cell>
          <cell r="O13" t="str">
            <v>PC</v>
          </cell>
          <cell r="P13" t="str">
            <v/>
          </cell>
          <cell r="Q13" t="str">
            <v>E5Y</v>
          </cell>
          <cell r="R13" t="str">
            <v>E5Y</v>
          </cell>
          <cell r="S13" t="str">
            <v>E5Y</v>
          </cell>
          <cell r="T13" t="str">
            <v>RESTAR SUPPLY CHAIN SOLUTION</v>
          </cell>
          <cell r="U13">
            <v>1.65</v>
          </cell>
          <cell r="V13">
            <v>1000</v>
          </cell>
          <cell r="W13">
            <v>2</v>
          </cell>
          <cell r="X13">
            <v>100</v>
          </cell>
          <cell r="Y13">
            <v>1.4935064935064934</v>
          </cell>
          <cell r="Z13">
            <v>1000</v>
          </cell>
          <cell r="AA13">
            <v>84</v>
          </cell>
          <cell r="AB13">
            <v>10000</v>
          </cell>
          <cell r="AC13">
            <v>10000</v>
          </cell>
          <cell r="AD13">
            <v>16.5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10000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230</v>
          </cell>
          <cell r="CA13">
            <v>1.4935064935064934</v>
          </cell>
          <cell r="CB13">
            <v>0</v>
          </cell>
          <cell r="CC13">
            <v>0</v>
          </cell>
          <cell r="CD13">
            <v>0</v>
          </cell>
        </row>
      </sheetData>
      <sheetData sheetId="3">
        <row r="1">
          <cell r="D1" t="str">
            <v>Material</v>
          </cell>
          <cell r="E1" t="str">
            <v>Material description</v>
          </cell>
          <cell r="F1" t="str">
            <v>Bulk</v>
          </cell>
          <cell r="G1" t="str">
            <v>Spec Proc</v>
          </cell>
          <cell r="H1" t="str">
            <v>Standard price</v>
          </cell>
          <cell r="I1" t="str">
            <v>Standard price</v>
          </cell>
          <cell r="J1" t="str">
            <v>per</v>
          </cell>
          <cell r="K1" t="str">
            <v>SLoc</v>
          </cell>
          <cell r="L1" t="str">
            <v>Total stock qty</v>
          </cell>
        </row>
        <row r="2">
          <cell r="D2" t="str">
            <v>1RE1DVLD1339ZA-1</v>
          </cell>
          <cell r="E2" t="str">
            <v>BG_FPC</v>
          </cell>
          <cell r="F2" t="str">
            <v/>
          </cell>
          <cell r="G2" t="str">
            <v/>
          </cell>
          <cell r="H2">
            <v>2410</v>
          </cell>
          <cell r="I2" t="str">
            <v>USD</v>
          </cell>
          <cell r="J2">
            <v>1000</v>
          </cell>
          <cell r="K2" t="str">
            <v>9C20</v>
          </cell>
          <cell r="L2">
            <v>3</v>
          </cell>
        </row>
        <row r="3">
          <cell r="D3" t="str">
            <v>7AA004AZAJ</v>
          </cell>
          <cell r="E3" t="str">
            <v>CUSHION</v>
          </cell>
          <cell r="F3" t="str">
            <v/>
          </cell>
          <cell r="G3" t="str">
            <v/>
          </cell>
          <cell r="H3">
            <v>7.34</v>
          </cell>
          <cell r="I3" t="str">
            <v>USD</v>
          </cell>
          <cell r="J3">
            <v>1000</v>
          </cell>
          <cell r="K3" t="str">
            <v>9S20</v>
          </cell>
          <cell r="L3">
            <v>3</v>
          </cell>
        </row>
        <row r="4">
          <cell r="D4" t="str">
            <v>D0GA2R2JA023</v>
          </cell>
          <cell r="E4" t="str">
            <v>RESISTOR</v>
          </cell>
          <cell r="F4" t="str">
            <v/>
          </cell>
          <cell r="G4" t="str">
            <v/>
          </cell>
          <cell r="H4">
            <v>0.28000000000000003</v>
          </cell>
          <cell r="I4" t="str">
            <v>USD</v>
          </cell>
          <cell r="J4">
            <v>1000</v>
          </cell>
          <cell r="K4" t="str">
            <v>9210</v>
          </cell>
          <cell r="L4">
            <v>70</v>
          </cell>
        </row>
        <row r="5">
          <cell r="D5" t="str">
            <v>D0GA333JA070</v>
          </cell>
          <cell r="E5" t="str">
            <v>RESISTOR</v>
          </cell>
          <cell r="F5" t="str">
            <v/>
          </cell>
          <cell r="G5" t="str">
            <v/>
          </cell>
          <cell r="H5">
            <v>0.26</v>
          </cell>
          <cell r="I5" t="str">
            <v>USD</v>
          </cell>
          <cell r="J5">
            <v>1000</v>
          </cell>
          <cell r="K5" t="str">
            <v>9210</v>
          </cell>
          <cell r="L5">
            <v>39</v>
          </cell>
        </row>
        <row r="6">
          <cell r="D6" t="str">
            <v>D0GF681JA118</v>
          </cell>
          <cell r="E6" t="str">
            <v>RESISTOR</v>
          </cell>
          <cell r="F6" t="str">
            <v/>
          </cell>
          <cell r="G6" t="str">
            <v/>
          </cell>
          <cell r="H6">
            <v>1.18</v>
          </cell>
          <cell r="I6" t="str">
            <v>USD</v>
          </cell>
          <cell r="J6">
            <v>1000</v>
          </cell>
          <cell r="K6" t="str">
            <v>9210</v>
          </cell>
          <cell r="L6">
            <v>119</v>
          </cell>
        </row>
        <row r="7">
          <cell r="D7" t="str">
            <v>DVLB2060ZA/X1</v>
          </cell>
          <cell r="E7" t="str">
            <v>PCB</v>
          </cell>
          <cell r="F7" t="str">
            <v/>
          </cell>
          <cell r="G7" t="str">
            <v/>
          </cell>
          <cell r="H7">
            <v>1510</v>
          </cell>
          <cell r="I7" t="str">
            <v>USD</v>
          </cell>
          <cell r="J7">
            <v>1000</v>
          </cell>
          <cell r="K7" t="str">
            <v>9210</v>
          </cell>
          <cell r="L7">
            <v>24</v>
          </cell>
        </row>
        <row r="8">
          <cell r="D8" t="str">
            <v>DVQX2516WA/V1</v>
          </cell>
          <cell r="E8" t="str">
            <v>OPERATING INSTRUCTIONS (EN)</v>
          </cell>
          <cell r="F8" t="str">
            <v/>
          </cell>
          <cell r="G8" t="str">
            <v/>
          </cell>
          <cell r="H8">
            <v>58.01</v>
          </cell>
          <cell r="I8" t="str">
            <v>USD</v>
          </cell>
          <cell r="J8">
            <v>1000</v>
          </cell>
          <cell r="K8" t="str">
            <v>9C20</v>
          </cell>
          <cell r="L8">
            <v>44</v>
          </cell>
        </row>
        <row r="9">
          <cell r="D9" t="str">
            <v>DVQX2517WA/V1</v>
          </cell>
          <cell r="E9" t="str">
            <v>OPERATING INSTRUCTIONS (SP)</v>
          </cell>
          <cell r="F9" t="str">
            <v/>
          </cell>
          <cell r="G9" t="str">
            <v/>
          </cell>
          <cell r="H9">
            <v>58.01</v>
          </cell>
          <cell r="I9" t="str">
            <v>USD</v>
          </cell>
          <cell r="J9">
            <v>1000</v>
          </cell>
          <cell r="K9" t="str">
            <v>9C20</v>
          </cell>
          <cell r="L9">
            <v>44</v>
          </cell>
        </row>
        <row r="10">
          <cell r="D10" t="str">
            <v>ERJ12YJ222U</v>
          </cell>
          <cell r="E10" t="str">
            <v>RESISTOR</v>
          </cell>
          <cell r="F10" t="str">
            <v/>
          </cell>
          <cell r="G10" t="str">
            <v/>
          </cell>
          <cell r="H10">
            <v>7.41</v>
          </cell>
          <cell r="I10" t="str">
            <v>USD</v>
          </cell>
          <cell r="J10">
            <v>1000</v>
          </cell>
          <cell r="K10" t="str">
            <v>9210</v>
          </cell>
          <cell r="L10">
            <v>128</v>
          </cell>
        </row>
        <row r="11">
          <cell r="D11" t="str">
            <v>ERJ3RBD153V</v>
          </cell>
          <cell r="E11" t="str">
            <v>RESISTOR</v>
          </cell>
          <cell r="F11" t="str">
            <v/>
          </cell>
          <cell r="G11" t="str">
            <v/>
          </cell>
          <cell r="H11">
            <v>1.32</v>
          </cell>
          <cell r="I11" t="str">
            <v>USD</v>
          </cell>
          <cell r="J11">
            <v>1000</v>
          </cell>
          <cell r="K11" t="str">
            <v>9210</v>
          </cell>
          <cell r="L11">
            <v>86</v>
          </cell>
        </row>
        <row r="12">
          <cell r="D12" t="str">
            <v>F1J1H105A832</v>
          </cell>
          <cell r="E12" t="str">
            <v>CAPACITOR</v>
          </cell>
          <cell r="F12" t="str">
            <v/>
          </cell>
          <cell r="G12" t="str">
            <v/>
          </cell>
          <cell r="H12">
            <v>23.84</v>
          </cell>
          <cell r="I12" t="str">
            <v>USD</v>
          </cell>
          <cell r="J12">
            <v>1000</v>
          </cell>
          <cell r="K12" t="str">
            <v>9210</v>
          </cell>
          <cell r="L12">
            <v>55</v>
          </cell>
        </row>
        <row r="13">
          <cell r="D13" t="str">
            <v>G1C5N6ZA0068</v>
          </cell>
          <cell r="E13" t="str">
            <v>INDUCTOR</v>
          </cell>
          <cell r="F13" t="str">
            <v/>
          </cell>
          <cell r="G13" t="str">
            <v/>
          </cell>
          <cell r="H13">
            <v>1.65</v>
          </cell>
          <cell r="I13" t="str">
            <v>USD</v>
          </cell>
          <cell r="J13">
            <v>1000</v>
          </cell>
          <cell r="K13" t="str">
            <v>9210</v>
          </cell>
          <cell r="L13">
            <v>10000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 list 24.12"/>
      <sheetName val="Scrap list (2)"/>
      <sheetName val="zmv022"/>
      <sheetName val="zmv032"/>
      <sheetName val="Sheet1"/>
      <sheetName val="Transfer 311"/>
    </sheetNames>
    <sheetDataSet>
      <sheetData sheetId="0"/>
      <sheetData sheetId="1"/>
      <sheetData sheetId="2">
        <row r="1">
          <cell r="C1" t="str">
            <v>Material</v>
          </cell>
          <cell r="D1" t="str">
            <v>Material Description</v>
          </cell>
          <cell r="E1" t="str">
            <v>Vendor</v>
          </cell>
          <cell r="F1" t="str">
            <v>Vendor</v>
          </cell>
          <cell r="G1" t="str">
            <v>*</v>
          </cell>
          <cell r="H1" t="str">
            <v>PSc</v>
          </cell>
          <cell r="I1" t="str">
            <v>MTyp</v>
          </cell>
          <cell r="J1" t="str">
            <v>UOM</v>
          </cell>
          <cell r="K1" t="str">
            <v>Crcy</v>
          </cell>
          <cell r="L1" t="str">
            <v>ST</v>
          </cell>
          <cell r="M1" t="str">
            <v>LS</v>
          </cell>
          <cell r="N1" t="str">
            <v>Crcy</v>
          </cell>
          <cell r="O1" t="str">
            <v>OPU</v>
          </cell>
          <cell r="P1" t="str">
            <v>Vendor Mat</v>
          </cell>
          <cell r="Q1" t="str">
            <v>PGr</v>
          </cell>
          <cell r="R1" t="str">
            <v>PGr</v>
          </cell>
          <cell r="S1" t="str">
            <v>MRPC</v>
          </cell>
          <cell r="T1" t="str">
            <v>Vender Name</v>
          </cell>
          <cell r="U1" t="str">
            <v>Std Price</v>
          </cell>
          <cell r="V1" t="str">
            <v>per</v>
          </cell>
          <cell r="W1" t="str">
            <v>GRT</v>
          </cell>
          <cell r="X1" t="str">
            <v>Quota %</v>
          </cell>
          <cell r="Y1" t="str">
            <v xml:space="preserve"> Info Netpr(New)</v>
          </cell>
          <cell r="Z1" t="str">
            <v>Per</v>
          </cell>
          <cell r="AA1" t="str">
            <v>PDT</v>
          </cell>
          <cell r="AB1" t="str">
            <v>B/F Inventory</v>
          </cell>
          <cell r="AC1" t="str">
            <v>Inventory</v>
          </cell>
          <cell r="AD1" t="str">
            <v>Inv.Amount</v>
          </cell>
          <cell r="AE1" t="str">
            <v>Prev. Mo</v>
          </cell>
          <cell r="AF1" t="str">
            <v>Prev. Mo</v>
          </cell>
          <cell r="AG1" t="str">
            <v>Previous Months</v>
          </cell>
          <cell r="AH1">
            <v>45992</v>
          </cell>
          <cell r="AI1">
            <v>45992</v>
          </cell>
          <cell r="AJ1">
            <v>45992</v>
          </cell>
          <cell r="AK1">
            <v>46023</v>
          </cell>
          <cell r="AL1">
            <v>46023</v>
          </cell>
          <cell r="AM1">
            <v>46023</v>
          </cell>
          <cell r="AN1">
            <v>46054</v>
          </cell>
          <cell r="AO1">
            <v>46054</v>
          </cell>
          <cell r="AP1">
            <v>46054</v>
          </cell>
          <cell r="AQ1">
            <v>46082</v>
          </cell>
          <cell r="AR1">
            <v>46082</v>
          </cell>
          <cell r="AS1">
            <v>46082</v>
          </cell>
          <cell r="AT1">
            <v>46113</v>
          </cell>
          <cell r="AU1">
            <v>46113</v>
          </cell>
          <cell r="AV1">
            <v>46113</v>
          </cell>
          <cell r="AW1">
            <v>46143</v>
          </cell>
          <cell r="AX1">
            <v>46143</v>
          </cell>
          <cell r="AY1">
            <v>46143</v>
          </cell>
          <cell r="AZ1">
            <v>46174</v>
          </cell>
          <cell r="BA1">
            <v>46174</v>
          </cell>
          <cell r="BB1">
            <v>46174</v>
          </cell>
          <cell r="BC1">
            <v>46204</v>
          </cell>
          <cell r="BD1">
            <v>46204</v>
          </cell>
          <cell r="BE1">
            <v>46204</v>
          </cell>
          <cell r="BF1">
            <v>46235</v>
          </cell>
          <cell r="BG1">
            <v>46235</v>
          </cell>
          <cell r="BH1">
            <v>46235</v>
          </cell>
          <cell r="BI1">
            <v>46266</v>
          </cell>
          <cell r="BJ1">
            <v>46266</v>
          </cell>
          <cell r="BK1">
            <v>46266</v>
          </cell>
          <cell r="BL1">
            <v>46296</v>
          </cell>
          <cell r="BM1">
            <v>46296</v>
          </cell>
          <cell r="BN1">
            <v>46296</v>
          </cell>
          <cell r="BO1">
            <v>46327</v>
          </cell>
          <cell r="BP1">
            <v>46327</v>
          </cell>
          <cell r="BQ1">
            <v>46327</v>
          </cell>
          <cell r="BR1" t="str">
            <v>Fwd. Mon</v>
          </cell>
          <cell r="BS1" t="str">
            <v>Forward Months</v>
          </cell>
          <cell r="BT1" t="str">
            <v>Forward Months</v>
          </cell>
          <cell r="BU1" t="str">
            <v>In house stock</v>
          </cell>
          <cell r="BV1" t="str">
            <v>Consignment stock</v>
          </cell>
          <cell r="BW1" t="str">
            <v>Blocked stock</v>
          </cell>
          <cell r="BX1" t="str">
            <v>Out of scope for MRP</v>
          </cell>
          <cell r="BY1" t="str">
            <v>Safety Stock</v>
          </cell>
          <cell r="BZ1" t="str">
            <v xml:space="preserve"> Info Netpr_Old</v>
          </cell>
          <cell r="CA1" t="str">
            <v xml:space="preserve"> Info Netpr(New)</v>
          </cell>
          <cell r="CB1" t="str">
            <v>Total PO</v>
          </cell>
          <cell r="CC1" t="str">
            <v>Total PR</v>
          </cell>
          <cell r="CD1" t="str">
            <v>Total requirement</v>
          </cell>
        </row>
        <row r="2">
          <cell r="C2" t="str">
            <v>D0GA100JA070</v>
          </cell>
          <cell r="D2" t="str">
            <v>RESISTOR</v>
          </cell>
          <cell r="E2" t="str">
            <v>VB003</v>
          </cell>
          <cell r="F2" t="str">
            <v>VB003</v>
          </cell>
          <cell r="G2" t="str">
            <v>00</v>
          </cell>
          <cell r="H2" t="str">
            <v>000</v>
          </cell>
          <cell r="I2" t="str">
            <v>ROH</v>
          </cell>
          <cell r="J2" t="str">
            <v>PC</v>
          </cell>
          <cell r="K2" t="str">
            <v>USD</v>
          </cell>
          <cell r="L2" t="str">
            <v>00</v>
          </cell>
          <cell r="M2" t="str">
            <v>MB</v>
          </cell>
          <cell r="N2" t="str">
            <v>USD</v>
          </cell>
          <cell r="O2" t="str">
            <v>PC</v>
          </cell>
          <cell r="P2" t="str">
            <v/>
          </cell>
          <cell r="Q2" t="str">
            <v>R18</v>
          </cell>
          <cell r="R2" t="str">
            <v>R95</v>
          </cell>
          <cell r="S2" t="str">
            <v>R18</v>
          </cell>
          <cell r="T2" t="str">
            <v>PANASONIC PROCUREMENT MALAYSIA</v>
          </cell>
          <cell r="U2">
            <v>0.26</v>
          </cell>
          <cell r="V2">
            <v>1000</v>
          </cell>
          <cell r="W2">
            <v>2</v>
          </cell>
          <cell r="X2">
            <v>100</v>
          </cell>
          <cell r="Y2">
            <v>0.26</v>
          </cell>
          <cell r="Z2">
            <v>1000</v>
          </cell>
          <cell r="AA2">
            <v>81</v>
          </cell>
          <cell r="AB2">
            <v>355</v>
          </cell>
          <cell r="AC2">
            <v>355</v>
          </cell>
          <cell r="AD2">
            <v>0.09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355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0.26</v>
          </cell>
          <cell r="CA2">
            <v>0.26</v>
          </cell>
          <cell r="CB2">
            <v>0</v>
          </cell>
          <cell r="CC2">
            <v>0</v>
          </cell>
          <cell r="CD2">
            <v>0</v>
          </cell>
        </row>
        <row r="3">
          <cell r="C3" t="str">
            <v>D0GA302JA039</v>
          </cell>
          <cell r="D3" t="str">
            <v>RESISTOR</v>
          </cell>
          <cell r="E3" t="str">
            <v>VB011</v>
          </cell>
          <cell r="F3" t="str">
            <v>VB011</v>
          </cell>
          <cell r="G3" t="str">
            <v>00</v>
          </cell>
          <cell r="H3" t="str">
            <v>000</v>
          </cell>
          <cell r="I3" t="str">
            <v>ROH</v>
          </cell>
          <cell r="J3" t="str">
            <v>PC</v>
          </cell>
          <cell r="K3" t="str">
            <v>USD</v>
          </cell>
          <cell r="L3" t="str">
            <v>00</v>
          </cell>
          <cell r="M3" t="str">
            <v>W1</v>
          </cell>
          <cell r="N3" t="str">
            <v>USD</v>
          </cell>
          <cell r="O3" t="str">
            <v>PC</v>
          </cell>
          <cell r="P3" t="str">
            <v/>
          </cell>
          <cell r="Q3" t="str">
            <v>R20</v>
          </cell>
          <cell r="R3" t="str">
            <v>R20</v>
          </cell>
          <cell r="S3" t="str">
            <v>R20</v>
          </cell>
          <cell r="T3" t="str">
            <v>PANASONIC HONG KONG CO. LTD-PGPRHK</v>
          </cell>
          <cell r="U3">
            <v>0.23</v>
          </cell>
          <cell r="V3">
            <v>1000</v>
          </cell>
          <cell r="W3">
            <v>2</v>
          </cell>
          <cell r="X3">
            <v>100</v>
          </cell>
          <cell r="Y3">
            <v>0.23</v>
          </cell>
          <cell r="Z3">
            <v>1000</v>
          </cell>
          <cell r="AA3">
            <v>87</v>
          </cell>
          <cell r="AB3">
            <v>380</v>
          </cell>
          <cell r="AC3">
            <v>380</v>
          </cell>
          <cell r="AD3">
            <v>0.09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380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0.23</v>
          </cell>
          <cell r="CA3">
            <v>0.23</v>
          </cell>
          <cell r="CB3">
            <v>0</v>
          </cell>
          <cell r="CC3">
            <v>0</v>
          </cell>
          <cell r="CD3">
            <v>0</v>
          </cell>
        </row>
        <row r="4">
          <cell r="C4" t="str">
            <v>F1R1H1R9A016</v>
          </cell>
          <cell r="D4" t="str">
            <v>CERAMIC CAPACITOR</v>
          </cell>
          <cell r="E4" t="str">
            <v>VF174Y</v>
          </cell>
          <cell r="F4" t="str">
            <v>VF174Y</v>
          </cell>
          <cell r="G4" t="str">
            <v>00</v>
          </cell>
          <cell r="H4" t="str">
            <v>000</v>
          </cell>
          <cell r="I4" t="str">
            <v>ROH</v>
          </cell>
          <cell r="J4" t="str">
            <v>PC</v>
          </cell>
          <cell r="K4" t="str">
            <v>USD</v>
          </cell>
          <cell r="L4" t="str">
            <v>00</v>
          </cell>
          <cell r="M4" t="str">
            <v>W1</v>
          </cell>
          <cell r="N4" t="str">
            <v>JPY</v>
          </cell>
          <cell r="O4" t="str">
            <v>PC</v>
          </cell>
          <cell r="P4" t="str">
            <v/>
          </cell>
          <cell r="Q4" t="str">
            <v>R5Y</v>
          </cell>
          <cell r="R4" t="str">
            <v>R5Y</v>
          </cell>
          <cell r="S4" t="str">
            <v>R5Y</v>
          </cell>
          <cell r="T4" t="str">
            <v>RESTAR SUPPLY CHAIN SOLUTION</v>
          </cell>
          <cell r="U4">
            <v>1</v>
          </cell>
          <cell r="V4">
            <v>1000</v>
          </cell>
          <cell r="W4">
            <v>2</v>
          </cell>
          <cell r="X4">
            <v>100</v>
          </cell>
          <cell r="Y4">
            <v>0.90909090909090906</v>
          </cell>
          <cell r="Z4">
            <v>1000</v>
          </cell>
          <cell r="AA4">
            <v>119</v>
          </cell>
          <cell r="AB4">
            <v>15567</v>
          </cell>
          <cell r="AC4">
            <v>14981</v>
          </cell>
          <cell r="AD4">
            <v>14.98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14981</v>
          </cell>
          <cell r="BV4">
            <v>0</v>
          </cell>
          <cell r="BW4">
            <v>0</v>
          </cell>
          <cell r="BX4">
            <v>586</v>
          </cell>
          <cell r="BY4">
            <v>0</v>
          </cell>
          <cell r="BZ4">
            <v>140</v>
          </cell>
          <cell r="CA4">
            <v>0.90909090909090906</v>
          </cell>
          <cell r="CB4">
            <v>0</v>
          </cell>
          <cell r="CC4">
            <v>0</v>
          </cell>
          <cell r="CD4">
            <v>0</v>
          </cell>
        </row>
        <row r="5">
          <cell r="C5" t="str">
            <v>PJPEC0190ZA/V2</v>
          </cell>
          <cell r="D5" t="str">
            <v>Carton pad</v>
          </cell>
          <cell r="E5" t="str">
            <v>VE041</v>
          </cell>
          <cell r="F5" t="str">
            <v>VE041</v>
          </cell>
          <cell r="G5" t="str">
            <v>00</v>
          </cell>
          <cell r="H5" t="str">
            <v>000</v>
          </cell>
          <cell r="I5" t="str">
            <v>ROH</v>
          </cell>
          <cell r="J5" t="str">
            <v>PC</v>
          </cell>
          <cell r="K5" t="str">
            <v>USD</v>
          </cell>
          <cell r="L5" t="str">
            <v>00</v>
          </cell>
          <cell r="M5" t="str">
            <v>W1</v>
          </cell>
          <cell r="N5" t="str">
            <v>USD</v>
          </cell>
          <cell r="O5" t="str">
            <v>PC</v>
          </cell>
          <cell r="P5" t="str">
            <v/>
          </cell>
          <cell r="Q5" t="str">
            <v>R44</v>
          </cell>
          <cell r="R5" t="str">
            <v>R44</v>
          </cell>
          <cell r="S5" t="str">
            <v>R44</v>
          </cell>
          <cell r="T5" t="str">
            <v>DYNAPAC (HANOI) CO. LTD</v>
          </cell>
          <cell r="U5">
            <v>115.27</v>
          </cell>
          <cell r="V5">
            <v>1000</v>
          </cell>
          <cell r="W5">
            <v>1</v>
          </cell>
          <cell r="X5">
            <v>100</v>
          </cell>
          <cell r="Y5">
            <v>115.27</v>
          </cell>
          <cell r="Z5">
            <v>1000</v>
          </cell>
          <cell r="AA5">
            <v>14</v>
          </cell>
          <cell r="AB5">
            <v>36</v>
          </cell>
          <cell r="AC5">
            <v>31</v>
          </cell>
          <cell r="AD5">
            <v>3.57</v>
          </cell>
          <cell r="AE5">
            <v>50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36</v>
          </cell>
          <cell r="BV5">
            <v>0</v>
          </cell>
          <cell r="BW5">
            <v>0</v>
          </cell>
          <cell r="BX5">
            <v>4</v>
          </cell>
          <cell r="BY5">
            <v>0</v>
          </cell>
          <cell r="BZ5">
            <v>115.27</v>
          </cell>
          <cell r="CA5">
            <v>115.27</v>
          </cell>
          <cell r="CB5">
            <v>50</v>
          </cell>
          <cell r="CC5">
            <v>0</v>
          </cell>
          <cell r="CD5">
            <v>0</v>
          </cell>
        </row>
        <row r="6">
          <cell r="C6" t="str">
            <v>PNPG4001001ZA/V1</v>
          </cell>
          <cell r="D6" t="str">
            <v>CARTON BOX</v>
          </cell>
          <cell r="E6" t="str">
            <v>VE041</v>
          </cell>
          <cell r="F6" t="str">
            <v>VE041</v>
          </cell>
          <cell r="G6" t="str">
            <v>00</v>
          </cell>
          <cell r="H6" t="str">
            <v>000</v>
          </cell>
          <cell r="I6" t="str">
            <v>ROH</v>
          </cell>
          <cell r="J6" t="str">
            <v>PC</v>
          </cell>
          <cell r="K6" t="str">
            <v>USD</v>
          </cell>
          <cell r="L6" t="str">
            <v>00</v>
          </cell>
          <cell r="M6" t="str">
            <v>W1</v>
          </cell>
          <cell r="N6" t="str">
            <v>USD</v>
          </cell>
          <cell r="O6" t="str">
            <v>PC</v>
          </cell>
          <cell r="P6" t="str">
            <v/>
          </cell>
          <cell r="Q6" t="str">
            <v>R44</v>
          </cell>
          <cell r="R6" t="str">
            <v>R44</v>
          </cell>
          <cell r="S6" t="str">
            <v>R44</v>
          </cell>
          <cell r="T6" t="str">
            <v>DYNAPAC (HANOI) CO. LTD</v>
          </cell>
          <cell r="U6">
            <v>358.8</v>
          </cell>
          <cell r="V6">
            <v>1000</v>
          </cell>
          <cell r="W6">
            <v>1</v>
          </cell>
          <cell r="X6">
            <v>100</v>
          </cell>
          <cell r="Y6">
            <v>358.8</v>
          </cell>
          <cell r="Z6">
            <v>1000</v>
          </cell>
          <cell r="AA6">
            <v>14</v>
          </cell>
          <cell r="AB6">
            <v>18</v>
          </cell>
          <cell r="AC6">
            <v>18</v>
          </cell>
          <cell r="AD6">
            <v>6.46</v>
          </cell>
          <cell r="AE6">
            <v>80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18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358.8</v>
          </cell>
          <cell r="CA6">
            <v>358.8</v>
          </cell>
          <cell r="CB6">
            <v>80</v>
          </cell>
          <cell r="CC6">
            <v>0</v>
          </cell>
          <cell r="CD6">
            <v>0</v>
          </cell>
        </row>
        <row r="7">
          <cell r="C7" t="str">
            <v>PNPG4001003ZA/V1</v>
          </cell>
          <cell r="D7" t="str">
            <v>CARTON BOX</v>
          </cell>
          <cell r="E7" t="str">
            <v>VE041</v>
          </cell>
          <cell r="F7" t="str">
            <v>VE041</v>
          </cell>
          <cell r="G7" t="str">
            <v>00</v>
          </cell>
          <cell r="H7" t="str">
            <v>000</v>
          </cell>
          <cell r="I7" t="str">
            <v>ROH</v>
          </cell>
          <cell r="J7" t="str">
            <v>PC</v>
          </cell>
          <cell r="K7" t="str">
            <v>USD</v>
          </cell>
          <cell r="L7" t="str">
            <v>00</v>
          </cell>
          <cell r="M7" t="str">
            <v>W1</v>
          </cell>
          <cell r="N7" t="str">
            <v>USD</v>
          </cell>
          <cell r="O7" t="str">
            <v>PC</v>
          </cell>
          <cell r="P7" t="str">
            <v/>
          </cell>
          <cell r="Q7" t="str">
            <v>R44</v>
          </cell>
          <cell r="R7" t="str">
            <v>R44</v>
          </cell>
          <cell r="S7" t="str">
            <v>R44</v>
          </cell>
          <cell r="T7" t="str">
            <v>DYNAPAC (HANOI) CO. LTD</v>
          </cell>
          <cell r="U7">
            <v>347.03</v>
          </cell>
          <cell r="V7">
            <v>1000</v>
          </cell>
          <cell r="W7">
            <v>1</v>
          </cell>
          <cell r="X7">
            <v>100</v>
          </cell>
          <cell r="Y7">
            <v>347.03</v>
          </cell>
          <cell r="Z7">
            <v>1000</v>
          </cell>
          <cell r="AA7">
            <v>14</v>
          </cell>
          <cell r="AB7">
            <v>4</v>
          </cell>
          <cell r="AC7">
            <v>4</v>
          </cell>
          <cell r="AD7">
            <v>1.39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4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347.03</v>
          </cell>
          <cell r="CA7">
            <v>347.03</v>
          </cell>
          <cell r="CB7">
            <v>0</v>
          </cell>
          <cell r="CC7">
            <v>0</v>
          </cell>
          <cell r="CD7">
            <v>0</v>
          </cell>
        </row>
        <row r="8">
          <cell r="C8" t="str">
            <v>PNPG4059000ZA/V1</v>
          </cell>
          <cell r="D8" t="str">
            <v>CARTON BOX</v>
          </cell>
          <cell r="E8" t="str">
            <v>VE116</v>
          </cell>
          <cell r="F8" t="str">
            <v>VE116</v>
          </cell>
          <cell r="G8" t="str">
            <v>00</v>
          </cell>
          <cell r="H8" t="str">
            <v>000</v>
          </cell>
          <cell r="I8" t="str">
            <v>ROH</v>
          </cell>
          <cell r="J8" t="str">
            <v>PC</v>
          </cell>
          <cell r="K8" t="str">
            <v>USD</v>
          </cell>
          <cell r="L8" t="str">
            <v>00</v>
          </cell>
          <cell r="M8" t="str">
            <v>W1</v>
          </cell>
          <cell r="N8" t="str">
            <v>USD</v>
          </cell>
          <cell r="O8" t="str">
            <v>PC</v>
          </cell>
          <cell r="P8" t="str">
            <v/>
          </cell>
          <cell r="Q8" t="str">
            <v>R44</v>
          </cell>
          <cell r="R8" t="str">
            <v>R44</v>
          </cell>
          <cell r="S8" t="str">
            <v>R44</v>
          </cell>
          <cell r="T8" t="str">
            <v>BRANCH OF OJITEX HAI PHONG CO.</v>
          </cell>
          <cell r="U8">
            <v>239.9</v>
          </cell>
          <cell r="V8">
            <v>1000</v>
          </cell>
          <cell r="W8">
            <v>1</v>
          </cell>
          <cell r="X8">
            <v>100</v>
          </cell>
          <cell r="Y8">
            <v>239.9</v>
          </cell>
          <cell r="Z8">
            <v>1000</v>
          </cell>
          <cell r="AA8">
            <v>14</v>
          </cell>
          <cell r="AB8">
            <v>61</v>
          </cell>
          <cell r="AC8">
            <v>61</v>
          </cell>
          <cell r="AD8">
            <v>14.63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61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239.9</v>
          </cell>
          <cell r="CA8">
            <v>239.9</v>
          </cell>
          <cell r="CB8">
            <v>0</v>
          </cell>
          <cell r="CC8">
            <v>0</v>
          </cell>
          <cell r="CD8">
            <v>0</v>
          </cell>
        </row>
        <row r="9">
          <cell r="C9" t="str">
            <v>PNPK3807001ZA/V1</v>
          </cell>
          <cell r="D9" t="str">
            <v>CARTON BOX</v>
          </cell>
          <cell r="E9" t="str">
            <v>VE041</v>
          </cell>
          <cell r="F9" t="str">
            <v>VE041</v>
          </cell>
          <cell r="G9" t="str">
            <v>00</v>
          </cell>
          <cell r="H9" t="str">
            <v>000</v>
          </cell>
          <cell r="I9" t="str">
            <v>ROH</v>
          </cell>
          <cell r="J9" t="str">
            <v>PC</v>
          </cell>
          <cell r="K9" t="str">
            <v>USD</v>
          </cell>
          <cell r="L9" t="str">
            <v>00</v>
          </cell>
          <cell r="M9" t="str">
            <v>W1</v>
          </cell>
          <cell r="N9" t="str">
            <v>USD</v>
          </cell>
          <cell r="O9" t="str">
            <v>PC</v>
          </cell>
          <cell r="P9" t="str">
            <v/>
          </cell>
          <cell r="Q9" t="str">
            <v>R44</v>
          </cell>
          <cell r="R9" t="str">
            <v>R44</v>
          </cell>
          <cell r="S9" t="str">
            <v>R44</v>
          </cell>
          <cell r="T9" t="str">
            <v>DYNAPAC (HANOI) CO. LTD</v>
          </cell>
          <cell r="U9">
            <v>103.18</v>
          </cell>
          <cell r="V9">
            <v>1000</v>
          </cell>
          <cell r="W9">
            <v>1</v>
          </cell>
          <cell r="X9">
            <v>100</v>
          </cell>
          <cell r="Y9">
            <v>103.18</v>
          </cell>
          <cell r="Z9">
            <v>1000</v>
          </cell>
          <cell r="AA9">
            <v>14</v>
          </cell>
          <cell r="AB9">
            <v>51</v>
          </cell>
          <cell r="AC9">
            <v>51</v>
          </cell>
          <cell r="AD9">
            <v>5.26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51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103.18</v>
          </cell>
          <cell r="CA9">
            <v>103.18</v>
          </cell>
          <cell r="CB9">
            <v>0</v>
          </cell>
          <cell r="CC9">
            <v>0</v>
          </cell>
          <cell r="CD9">
            <v>0</v>
          </cell>
        </row>
        <row r="10">
          <cell r="C10" t="str">
            <v>PNPK4369000ZA/V1</v>
          </cell>
          <cell r="D10" t="str">
            <v>CARTON BOX</v>
          </cell>
          <cell r="E10" t="str">
            <v>VE116</v>
          </cell>
          <cell r="F10" t="str">
            <v>VE116</v>
          </cell>
          <cell r="G10" t="str">
            <v>00</v>
          </cell>
          <cell r="H10" t="str">
            <v>000</v>
          </cell>
          <cell r="I10" t="str">
            <v>ROH</v>
          </cell>
          <cell r="J10" t="str">
            <v>PC</v>
          </cell>
          <cell r="K10" t="str">
            <v>USD</v>
          </cell>
          <cell r="L10" t="str">
            <v>00</v>
          </cell>
          <cell r="M10" t="str">
            <v>W1</v>
          </cell>
          <cell r="N10" t="str">
            <v>USD</v>
          </cell>
          <cell r="O10" t="str">
            <v>PC</v>
          </cell>
          <cell r="P10" t="str">
            <v/>
          </cell>
          <cell r="Q10" t="str">
            <v>R44</v>
          </cell>
          <cell r="R10" t="str">
            <v>R44</v>
          </cell>
          <cell r="S10" t="str">
            <v>R44</v>
          </cell>
          <cell r="T10" t="str">
            <v>BRANCH OF OJITEX HAI PHONG CO.</v>
          </cell>
          <cell r="U10">
            <v>105</v>
          </cell>
          <cell r="V10">
            <v>1000</v>
          </cell>
          <cell r="W10">
            <v>1</v>
          </cell>
          <cell r="X10">
            <v>100</v>
          </cell>
          <cell r="Y10">
            <v>105</v>
          </cell>
          <cell r="Z10">
            <v>1000</v>
          </cell>
          <cell r="AA10">
            <v>14</v>
          </cell>
          <cell r="AB10">
            <v>6</v>
          </cell>
          <cell r="AC10">
            <v>6</v>
          </cell>
          <cell r="AD10">
            <v>0.63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6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105</v>
          </cell>
          <cell r="CA10">
            <v>105</v>
          </cell>
          <cell r="CB10">
            <v>0</v>
          </cell>
          <cell r="CC10">
            <v>0</v>
          </cell>
          <cell r="CD10">
            <v>0</v>
          </cell>
        </row>
        <row r="11">
          <cell r="C11" t="str">
            <v>PNYF1092ZA2W252/V2</v>
          </cell>
          <cell r="D11" t="str">
            <v>LOWER CABINET</v>
          </cell>
          <cell r="E11" t="str">
            <v>VE079</v>
          </cell>
          <cell r="F11" t="str">
            <v>VE079</v>
          </cell>
          <cell r="G11" t="str">
            <v>00</v>
          </cell>
          <cell r="H11" t="str">
            <v>000</v>
          </cell>
          <cell r="I11" t="str">
            <v>ROH</v>
          </cell>
          <cell r="J11" t="str">
            <v>PC</v>
          </cell>
          <cell r="K11" t="str">
            <v>USD</v>
          </cell>
          <cell r="L11" t="str">
            <v>00</v>
          </cell>
          <cell r="M11" t="str">
            <v>W1</v>
          </cell>
          <cell r="N11" t="str">
            <v>USD</v>
          </cell>
          <cell r="O11" t="str">
            <v>PC</v>
          </cell>
          <cell r="P11" t="str">
            <v/>
          </cell>
          <cell r="Q11" t="str">
            <v>R35</v>
          </cell>
          <cell r="R11" t="str">
            <v>R95</v>
          </cell>
          <cell r="S11" t="str">
            <v>R35</v>
          </cell>
          <cell r="T11" t="str">
            <v>VIETDRAGON PRECISION PLASTIC CO.</v>
          </cell>
          <cell r="U11">
            <v>181.3</v>
          </cell>
          <cell r="V11">
            <v>1000</v>
          </cell>
          <cell r="W11">
            <v>1</v>
          </cell>
          <cell r="X11">
            <v>100</v>
          </cell>
          <cell r="Y11">
            <v>181.3</v>
          </cell>
          <cell r="Z11">
            <v>1000</v>
          </cell>
          <cell r="AA11">
            <v>14</v>
          </cell>
          <cell r="AB11">
            <v>67</v>
          </cell>
          <cell r="AC11">
            <v>67</v>
          </cell>
          <cell r="AD11">
            <v>12.15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67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181.3</v>
          </cell>
          <cell r="CA11">
            <v>181.3</v>
          </cell>
          <cell r="CB11">
            <v>0</v>
          </cell>
          <cell r="CC11">
            <v>0</v>
          </cell>
          <cell r="CD11">
            <v>0</v>
          </cell>
        </row>
        <row r="12">
          <cell r="C12" t="str">
            <v>PNYF1129XA8V163/V3</v>
          </cell>
          <cell r="D12" t="str">
            <v>LOWER CABINET</v>
          </cell>
          <cell r="E12" t="str">
            <v>VE079</v>
          </cell>
          <cell r="F12" t="str">
            <v>VE079</v>
          </cell>
          <cell r="G12" t="str">
            <v>00</v>
          </cell>
          <cell r="H12" t="str">
            <v>000</v>
          </cell>
          <cell r="I12" t="str">
            <v>ROH</v>
          </cell>
          <cell r="J12" t="str">
            <v>PC</v>
          </cell>
          <cell r="K12" t="str">
            <v>USD</v>
          </cell>
          <cell r="L12" t="str">
            <v>00</v>
          </cell>
          <cell r="M12" t="str">
            <v>W1</v>
          </cell>
          <cell r="N12" t="str">
            <v>USD</v>
          </cell>
          <cell r="O12" t="str">
            <v>PC</v>
          </cell>
          <cell r="P12" t="str">
            <v/>
          </cell>
          <cell r="Q12" t="str">
            <v>R35</v>
          </cell>
          <cell r="R12" t="str">
            <v>R95</v>
          </cell>
          <cell r="S12" t="str">
            <v>R35</v>
          </cell>
          <cell r="T12" t="str">
            <v>VIETDRAGON PRECISION PLASTIC CO.</v>
          </cell>
          <cell r="U12">
            <v>220.1</v>
          </cell>
          <cell r="V12">
            <v>1000</v>
          </cell>
          <cell r="W12">
            <v>1</v>
          </cell>
          <cell r="X12">
            <v>100</v>
          </cell>
          <cell r="Y12">
            <v>220.1</v>
          </cell>
          <cell r="Z12">
            <v>1000</v>
          </cell>
          <cell r="AA12">
            <v>14</v>
          </cell>
          <cell r="AB12">
            <v>136</v>
          </cell>
          <cell r="AC12">
            <v>135</v>
          </cell>
          <cell r="AD12">
            <v>29.71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135</v>
          </cell>
          <cell r="BV12">
            <v>0</v>
          </cell>
          <cell r="BW12">
            <v>0</v>
          </cell>
          <cell r="BX12">
            <v>1</v>
          </cell>
          <cell r="BY12">
            <v>0</v>
          </cell>
          <cell r="BZ12">
            <v>220.1</v>
          </cell>
          <cell r="CA12">
            <v>220.1</v>
          </cell>
          <cell r="CB12">
            <v>0</v>
          </cell>
          <cell r="CC12">
            <v>0</v>
          </cell>
          <cell r="CD12">
            <v>0</v>
          </cell>
        </row>
        <row r="13">
          <cell r="C13" t="str">
            <v>PQHR11315ZB</v>
          </cell>
          <cell r="D13" t="str">
            <v>SPEAKER</v>
          </cell>
          <cell r="E13" t="str">
            <v>VB012</v>
          </cell>
          <cell r="F13" t="str">
            <v>VB012</v>
          </cell>
          <cell r="G13" t="str">
            <v>00</v>
          </cell>
          <cell r="H13" t="str">
            <v>000</v>
          </cell>
          <cell r="I13" t="str">
            <v>ROH</v>
          </cell>
          <cell r="J13" t="str">
            <v>PC</v>
          </cell>
          <cell r="K13" t="str">
            <v>USD</v>
          </cell>
          <cell r="L13" t="str">
            <v>00</v>
          </cell>
          <cell r="M13" t="str">
            <v>MB</v>
          </cell>
          <cell r="N13" t="str">
            <v>USD</v>
          </cell>
          <cell r="O13" t="str">
            <v>PC</v>
          </cell>
          <cell r="P13" t="str">
            <v/>
          </cell>
          <cell r="Q13" t="str">
            <v>R18</v>
          </cell>
          <cell r="R13" t="str">
            <v>R18</v>
          </cell>
          <cell r="S13" t="str">
            <v>R18</v>
          </cell>
          <cell r="T13" t="str">
            <v>PANASONIC SYSTEM NETWORKS MALAYSIA</v>
          </cell>
          <cell r="U13">
            <v>8.9</v>
          </cell>
          <cell r="V13">
            <v>1000</v>
          </cell>
          <cell r="W13">
            <v>2</v>
          </cell>
          <cell r="X13">
            <v>100</v>
          </cell>
          <cell r="Y13">
            <v>8.9</v>
          </cell>
          <cell r="Z13">
            <v>1000</v>
          </cell>
          <cell r="AA13">
            <v>51</v>
          </cell>
          <cell r="AB13">
            <v>3</v>
          </cell>
          <cell r="AC13">
            <v>3</v>
          </cell>
          <cell r="AD13">
            <v>0.03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3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8.9</v>
          </cell>
          <cell r="CA13">
            <v>8.9</v>
          </cell>
          <cell r="CB13">
            <v>0</v>
          </cell>
          <cell r="CC13">
            <v>0</v>
          </cell>
          <cell r="CD13">
            <v>0</v>
          </cell>
        </row>
        <row r="14">
          <cell r="C14" t="str">
            <v>PNLB2745ZA-GL</v>
          </cell>
          <cell r="D14" t="str">
            <v>CPU PCB</v>
          </cell>
          <cell r="E14" t="str">
            <v>VF171</v>
          </cell>
          <cell r="F14" t="str">
            <v>VF171</v>
          </cell>
          <cell r="G14" t="str">
            <v>00</v>
          </cell>
          <cell r="H14" t="str">
            <v>000</v>
          </cell>
          <cell r="I14" t="str">
            <v>ROH</v>
          </cell>
          <cell r="J14" t="str">
            <v>PC</v>
          </cell>
          <cell r="K14" t="str">
            <v>USD</v>
          </cell>
          <cell r="L14" t="str">
            <v>00</v>
          </cell>
          <cell r="M14" t="str">
            <v>W1</v>
          </cell>
          <cell r="N14" t="str">
            <v>USD</v>
          </cell>
          <cell r="O14" t="str">
            <v>PC</v>
          </cell>
          <cell r="P14" t="str">
            <v/>
          </cell>
          <cell r="Q14" t="str">
            <v>R19</v>
          </cell>
          <cell r="R14" t="str">
            <v>R95</v>
          </cell>
          <cell r="S14" t="str">
            <v>R19</v>
          </cell>
          <cell r="T14" t="str">
            <v>GULTECH (JIANGSU) ELECTRONICS</v>
          </cell>
          <cell r="U14">
            <v>1470</v>
          </cell>
          <cell r="V14">
            <v>1000</v>
          </cell>
          <cell r="W14">
            <v>2</v>
          </cell>
          <cell r="X14">
            <v>100</v>
          </cell>
          <cell r="Y14">
            <v>1470</v>
          </cell>
          <cell r="Z14">
            <v>1000</v>
          </cell>
          <cell r="AA14">
            <v>119</v>
          </cell>
          <cell r="AB14">
            <v>572</v>
          </cell>
          <cell r="AC14">
            <v>572</v>
          </cell>
          <cell r="AD14">
            <v>840.84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572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1470</v>
          </cell>
          <cell r="CA14">
            <v>1470</v>
          </cell>
          <cell r="CB14">
            <v>0</v>
          </cell>
          <cell r="CC14">
            <v>0</v>
          </cell>
          <cell r="CD14">
            <v>0</v>
          </cell>
        </row>
      </sheetData>
      <sheetData sheetId="3">
        <row r="1">
          <cell r="D1" t="str">
            <v>Material</v>
          </cell>
          <cell r="E1" t="str">
            <v>Material description</v>
          </cell>
          <cell r="F1" t="str">
            <v>Bulk</v>
          </cell>
          <cell r="G1" t="str">
            <v>Spec Proc</v>
          </cell>
          <cell r="H1" t="str">
            <v>Standard price</v>
          </cell>
          <cell r="I1" t="str">
            <v>Standard price</v>
          </cell>
          <cell r="J1" t="str">
            <v>per</v>
          </cell>
          <cell r="K1" t="str">
            <v>SLoc</v>
          </cell>
          <cell r="L1" t="str">
            <v>Total stock qty</v>
          </cell>
        </row>
        <row r="2">
          <cell r="D2" t="str">
            <v>D0GA100JA070</v>
          </cell>
          <cell r="E2" t="str">
            <v>RESISTOR</v>
          </cell>
          <cell r="F2" t="str">
            <v/>
          </cell>
          <cell r="G2" t="str">
            <v/>
          </cell>
          <cell r="H2">
            <v>0.26</v>
          </cell>
          <cell r="I2" t="str">
            <v>USD</v>
          </cell>
          <cell r="J2">
            <v>1000</v>
          </cell>
          <cell r="K2" t="str">
            <v>1210</v>
          </cell>
          <cell r="L2">
            <v>355</v>
          </cell>
        </row>
        <row r="3">
          <cell r="D3" t="str">
            <v>D0GA302JA039</v>
          </cell>
          <cell r="E3" t="str">
            <v>RESISTOR</v>
          </cell>
          <cell r="F3" t="str">
            <v/>
          </cell>
          <cell r="G3" t="str">
            <v/>
          </cell>
          <cell r="H3">
            <v>0.23</v>
          </cell>
          <cell r="I3" t="str">
            <v>USD</v>
          </cell>
          <cell r="J3">
            <v>1000</v>
          </cell>
          <cell r="K3" t="str">
            <v>1210</v>
          </cell>
          <cell r="L3">
            <v>380</v>
          </cell>
        </row>
        <row r="4">
          <cell r="D4" t="str">
            <v>F1R1H1R9A016</v>
          </cell>
          <cell r="E4" t="str">
            <v>CERAMIC CAPACITOR</v>
          </cell>
          <cell r="F4" t="str">
            <v/>
          </cell>
          <cell r="G4" t="str">
            <v/>
          </cell>
          <cell r="H4">
            <v>1</v>
          </cell>
          <cell r="I4" t="str">
            <v>USD</v>
          </cell>
          <cell r="J4">
            <v>1000</v>
          </cell>
          <cell r="K4" t="str">
            <v>1210</v>
          </cell>
          <cell r="L4">
            <v>14981</v>
          </cell>
        </row>
        <row r="5">
          <cell r="D5" t="str">
            <v>L5DYBYY00085</v>
          </cell>
          <cell r="E5" t="str">
            <v>LCD</v>
          </cell>
          <cell r="F5" t="str">
            <v/>
          </cell>
          <cell r="G5" t="str">
            <v/>
          </cell>
          <cell r="H5">
            <v>550.29999999999995</v>
          </cell>
          <cell r="I5" t="str">
            <v>USD</v>
          </cell>
          <cell r="J5">
            <v>1000</v>
          </cell>
          <cell r="K5" t="str">
            <v>1360</v>
          </cell>
          <cell r="L5">
            <v>1</v>
          </cell>
        </row>
        <row r="6">
          <cell r="D6" t="str">
            <v>PJPEC0190ZA/V2</v>
          </cell>
          <cell r="E6" t="str">
            <v>Carton pad</v>
          </cell>
          <cell r="F6" t="str">
            <v/>
          </cell>
          <cell r="G6" t="str">
            <v/>
          </cell>
          <cell r="H6">
            <v>115.27</v>
          </cell>
          <cell r="I6" t="str">
            <v>USD</v>
          </cell>
          <cell r="J6">
            <v>1000</v>
          </cell>
          <cell r="K6" t="str">
            <v>1140</v>
          </cell>
          <cell r="L6">
            <v>18</v>
          </cell>
        </row>
        <row r="7">
          <cell r="D7" t="str">
            <v>PNPG4001001ZA/V1</v>
          </cell>
          <cell r="E7" t="str">
            <v>CARTON BOX</v>
          </cell>
          <cell r="F7" t="str">
            <v/>
          </cell>
          <cell r="G7" t="str">
            <v/>
          </cell>
          <cell r="H7">
            <v>358.8</v>
          </cell>
          <cell r="I7" t="str">
            <v>USD</v>
          </cell>
          <cell r="J7">
            <v>1000</v>
          </cell>
          <cell r="K7" t="str">
            <v>1140</v>
          </cell>
          <cell r="L7">
            <v>18</v>
          </cell>
        </row>
        <row r="8">
          <cell r="D8" t="str">
            <v>PNPG4001003ZA/V1</v>
          </cell>
          <cell r="E8" t="str">
            <v>CARTON BOX</v>
          </cell>
          <cell r="F8" t="str">
            <v/>
          </cell>
          <cell r="G8" t="str">
            <v/>
          </cell>
          <cell r="H8">
            <v>347.03</v>
          </cell>
          <cell r="I8" t="str">
            <v>USD</v>
          </cell>
          <cell r="J8">
            <v>1000</v>
          </cell>
          <cell r="K8" t="str">
            <v>1140</v>
          </cell>
          <cell r="L8">
            <v>4</v>
          </cell>
        </row>
        <row r="9">
          <cell r="D9" t="str">
            <v>PNPG4059000ZA/V1</v>
          </cell>
          <cell r="E9" t="str">
            <v>CARTON BOX</v>
          </cell>
          <cell r="F9" t="str">
            <v/>
          </cell>
          <cell r="G9" t="str">
            <v/>
          </cell>
          <cell r="H9">
            <v>239.9</v>
          </cell>
          <cell r="I9" t="str">
            <v>USD</v>
          </cell>
          <cell r="J9">
            <v>1000</v>
          </cell>
          <cell r="K9" t="str">
            <v>1140</v>
          </cell>
          <cell r="L9">
            <v>61</v>
          </cell>
        </row>
        <row r="10">
          <cell r="D10" t="str">
            <v>PNPK3807001ZA/V1</v>
          </cell>
          <cell r="E10" t="str">
            <v>CARTON BOX</v>
          </cell>
          <cell r="F10" t="str">
            <v/>
          </cell>
          <cell r="G10" t="str">
            <v/>
          </cell>
          <cell r="H10">
            <v>103.18</v>
          </cell>
          <cell r="I10" t="str">
            <v>USD</v>
          </cell>
          <cell r="J10">
            <v>1000</v>
          </cell>
          <cell r="K10" t="str">
            <v>1142</v>
          </cell>
          <cell r="L10">
            <v>51</v>
          </cell>
        </row>
        <row r="11">
          <cell r="D11" t="str">
            <v>PNPK4369000ZA/V1</v>
          </cell>
          <cell r="E11" t="str">
            <v>CARTON BOX</v>
          </cell>
          <cell r="F11" t="str">
            <v/>
          </cell>
          <cell r="G11" t="str">
            <v/>
          </cell>
          <cell r="H11">
            <v>105</v>
          </cell>
          <cell r="I11" t="str">
            <v>USD</v>
          </cell>
          <cell r="J11">
            <v>1000</v>
          </cell>
          <cell r="K11" t="str">
            <v>1140</v>
          </cell>
          <cell r="L11">
            <v>6</v>
          </cell>
        </row>
        <row r="12">
          <cell r="D12" t="str">
            <v>PNYF1092ZA2W252/V2</v>
          </cell>
          <cell r="E12" t="str">
            <v>LOWER CABINET</v>
          </cell>
          <cell r="F12" t="str">
            <v/>
          </cell>
          <cell r="G12" t="str">
            <v/>
          </cell>
          <cell r="H12">
            <v>181.3</v>
          </cell>
          <cell r="I12" t="str">
            <v>USD</v>
          </cell>
          <cell r="J12">
            <v>1000</v>
          </cell>
          <cell r="K12" t="str">
            <v>1112</v>
          </cell>
          <cell r="L12">
            <v>67</v>
          </cell>
        </row>
        <row r="13">
          <cell r="D13" t="str">
            <v>PNYF1129XA8V163/V3</v>
          </cell>
          <cell r="E13" t="str">
            <v>LOWER CABINET</v>
          </cell>
          <cell r="F13" t="str">
            <v/>
          </cell>
          <cell r="G13" t="str">
            <v/>
          </cell>
          <cell r="H13">
            <v>220.1</v>
          </cell>
          <cell r="I13" t="str">
            <v>USD</v>
          </cell>
          <cell r="J13">
            <v>1000</v>
          </cell>
          <cell r="K13" t="str">
            <v>1112</v>
          </cell>
          <cell r="L13">
            <v>135</v>
          </cell>
        </row>
        <row r="14">
          <cell r="D14" t="str">
            <v>PQHR11315ZB</v>
          </cell>
          <cell r="E14" t="str">
            <v>SPEAKER</v>
          </cell>
          <cell r="F14" t="str">
            <v/>
          </cell>
          <cell r="G14" t="str">
            <v/>
          </cell>
          <cell r="H14">
            <v>8.9</v>
          </cell>
          <cell r="I14" t="str">
            <v>USD</v>
          </cell>
          <cell r="J14">
            <v>1000</v>
          </cell>
          <cell r="K14" t="str">
            <v>1120</v>
          </cell>
          <cell r="L14">
            <v>3</v>
          </cell>
        </row>
        <row r="15">
          <cell r="D15" t="str">
            <v>PNLB2745ZA-GL</v>
          </cell>
          <cell r="E15" t="str">
            <v>CPU PCB</v>
          </cell>
          <cell r="F15" t="str">
            <v/>
          </cell>
          <cell r="G15" t="str">
            <v/>
          </cell>
          <cell r="H15">
            <v>1470</v>
          </cell>
          <cell r="I15" t="str">
            <v>USD</v>
          </cell>
          <cell r="J15">
            <v>1000</v>
          </cell>
          <cell r="K15" t="str">
            <v>1210</v>
          </cell>
          <cell r="L15">
            <v>572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"/>
  <sheetViews>
    <sheetView tabSelected="1" zoomScale="40" zoomScaleNormal="40" workbookViewId="0">
      <pane xSplit="4" ySplit="5" topLeftCell="E31" activePane="bottomRight" state="frozen"/>
      <selection pane="topRight" activeCell="D1" sqref="D1"/>
      <selection pane="bottomLeft" activeCell="A6" sqref="A6"/>
      <selection pane="bottomRight" activeCell="L4" sqref="L4"/>
    </sheetView>
  </sheetViews>
  <sheetFormatPr defaultRowHeight="15" x14ac:dyDescent="0.25"/>
  <cols>
    <col min="1" max="1" width="21" style="101" customWidth="1"/>
    <col min="2" max="2" width="9.7109375" style="94" customWidth="1"/>
    <col min="3" max="3" width="15.5703125" customWidth="1"/>
    <col min="4" max="4" width="60.140625" customWidth="1"/>
    <col min="5" max="5" width="50" style="95" customWidth="1"/>
    <col min="6" max="6" width="31.5703125" style="96" bestFit="1" customWidth="1"/>
    <col min="7" max="7" width="21.85546875" customWidth="1"/>
    <col min="8" max="8" width="15.42578125" customWidth="1"/>
    <col min="9" max="9" width="18.85546875" customWidth="1"/>
    <col min="10" max="10" width="17.5703125" customWidth="1"/>
    <col min="11" max="11" width="49.140625" customWidth="1"/>
    <col min="12" max="13" width="29.42578125" style="97" customWidth="1"/>
    <col min="14" max="14" width="29.42578125" customWidth="1"/>
    <col min="15" max="15" width="25.42578125" style="98" customWidth="1"/>
    <col min="16" max="16" width="90.85546875" style="99" customWidth="1"/>
    <col min="17" max="19" width="18" style="98" customWidth="1"/>
    <col min="20" max="20" width="24.85546875" style="98" bestFit="1" customWidth="1"/>
    <col min="21" max="21" width="17" style="100" customWidth="1"/>
    <col min="22" max="22" width="18.140625" style="100" customWidth="1"/>
    <col min="23" max="23" width="18.85546875" style="100" customWidth="1"/>
    <col min="24" max="26" width="25.28515625" style="100" customWidth="1"/>
    <col min="27" max="27" width="24.85546875" style="100" bestFit="1" customWidth="1"/>
    <col min="28" max="28" width="32.85546875" style="100" bestFit="1" customWidth="1"/>
    <col min="29" max="29" width="24.140625" style="100" customWidth="1"/>
    <col min="30" max="30" width="19.140625" customWidth="1"/>
    <col min="31" max="31" width="28.140625" customWidth="1"/>
    <col min="32" max="32" width="29.42578125" customWidth="1"/>
    <col min="33" max="33" width="23.28515625" style="98" customWidth="1"/>
    <col min="34" max="34" width="20.42578125" customWidth="1"/>
    <col min="35" max="35" width="21" style="101" customWidth="1"/>
    <col min="36" max="36" width="18.28515625" style="98" customWidth="1"/>
    <col min="37" max="37" width="18.85546875" style="100" customWidth="1"/>
    <col min="38" max="38" width="22" style="100" customWidth="1"/>
    <col min="39" max="39" width="24.42578125" style="98" customWidth="1"/>
    <col min="40" max="40" width="32.28515625" style="102" customWidth="1"/>
    <col min="41" max="41" width="33" style="102" customWidth="1"/>
    <col min="42" max="43" width="18.42578125" style="98" customWidth="1"/>
    <col min="44" max="44" width="20" customWidth="1"/>
    <col min="45" max="45" width="26.42578125" style="98" customWidth="1"/>
    <col min="46" max="46" width="41.42578125" customWidth="1"/>
    <col min="47" max="47" width="27" bestFit="1" customWidth="1"/>
    <col min="48" max="48" width="10.85546875" customWidth="1"/>
  </cols>
  <sheetData>
    <row r="1" spans="1:47" s="14" customFormat="1" ht="46.5" x14ac:dyDescent="0.7">
      <c r="A1" s="8"/>
      <c r="B1" s="1"/>
      <c r="C1" s="129" t="s">
        <v>191</v>
      </c>
      <c r="D1" s="130" t="s">
        <v>190</v>
      </c>
      <c r="F1" s="3"/>
      <c r="G1" s="2"/>
      <c r="H1" s="2"/>
      <c r="I1" s="2"/>
      <c r="J1" s="2"/>
      <c r="K1" s="2"/>
      <c r="L1" s="2"/>
      <c r="M1" s="2"/>
      <c r="N1" s="2"/>
      <c r="O1" s="2"/>
      <c r="P1" s="3"/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/>
      <c r="AG1" s="7"/>
      <c r="AH1" s="6"/>
      <c r="AI1" s="8"/>
      <c r="AJ1" s="6"/>
      <c r="AK1" s="9"/>
      <c r="AL1" s="6"/>
      <c r="AM1" s="6"/>
      <c r="AN1" s="10"/>
      <c r="AO1" s="10"/>
      <c r="AP1" s="11"/>
      <c r="AQ1" s="12"/>
      <c r="AR1" s="11"/>
      <c r="AS1" s="13"/>
      <c r="AT1" s="13"/>
    </row>
    <row r="2" spans="1:47" s="19" customFormat="1" ht="61.5" x14ac:dyDescent="0.7">
      <c r="A2" s="27"/>
      <c r="B2" s="15"/>
      <c r="C2" s="16" t="s">
        <v>0</v>
      </c>
      <c r="D2" s="16" t="s">
        <v>1</v>
      </c>
      <c r="E2" s="17"/>
      <c r="F2" s="18"/>
      <c r="L2" s="20"/>
      <c r="M2" s="20"/>
      <c r="O2" s="21"/>
      <c r="P2" s="22"/>
      <c r="Q2" s="21"/>
      <c r="R2" s="21"/>
      <c r="S2" s="23"/>
      <c r="T2" s="23"/>
      <c r="U2" s="24"/>
      <c r="V2" s="24"/>
      <c r="W2" s="24"/>
      <c r="X2" s="24"/>
      <c r="Y2" s="24"/>
      <c r="Z2" s="24"/>
      <c r="AA2" s="24"/>
      <c r="AB2" s="24"/>
      <c r="AC2" s="24"/>
      <c r="AD2" s="25"/>
      <c r="AE2" s="26"/>
      <c r="AF2" s="26"/>
      <c r="AG2" s="5"/>
      <c r="AH2" s="10"/>
      <c r="AI2" s="27"/>
      <c r="AJ2" s="5"/>
      <c r="AK2" s="10"/>
      <c r="AL2" s="28"/>
      <c r="AM2" s="29"/>
      <c r="AN2" s="30">
        <f>SUBTOTAL(9,AN6:AN9)</f>
        <v>45.883759999999995</v>
      </c>
      <c r="AO2" s="30">
        <f>SUBTOTAL(9,AO6:AR9)</f>
        <v>48.574879999999993</v>
      </c>
      <c r="AP2" s="31"/>
      <c r="AQ2" s="31">
        <f>SUBTOTAL(9,AQ6:AQ9)</f>
        <v>0</v>
      </c>
      <c r="AR2" s="31">
        <f>SUBTOTAL(9,AR6:AR9)</f>
        <v>0</v>
      </c>
      <c r="AS2" s="32"/>
      <c r="AT2" s="33"/>
    </row>
    <row r="3" spans="1:47" s="39" customFormat="1" ht="46.5" x14ac:dyDescent="0.25">
      <c r="A3" s="39" t="s">
        <v>8</v>
      </c>
      <c r="B3" s="34"/>
      <c r="C3" s="35" t="s">
        <v>2</v>
      </c>
      <c r="D3" s="36" t="s">
        <v>3</v>
      </c>
      <c r="E3" s="37"/>
      <c r="F3" s="38"/>
      <c r="I3" s="40"/>
      <c r="J3" s="40"/>
      <c r="L3" s="41"/>
      <c r="M3" s="41"/>
      <c r="O3" s="42"/>
      <c r="P3" s="43"/>
      <c r="Q3" s="42"/>
      <c r="R3" s="44"/>
      <c r="S3" s="45"/>
      <c r="T3" s="136" t="s">
        <v>4</v>
      </c>
      <c r="U3" s="136"/>
      <c r="V3" s="136"/>
      <c r="W3" s="136"/>
      <c r="X3" s="138" t="s">
        <v>5</v>
      </c>
      <c r="Y3" s="138"/>
      <c r="Z3" s="138"/>
      <c r="AA3" s="136" t="s">
        <v>6</v>
      </c>
      <c r="AB3" s="136"/>
      <c r="AC3" s="136"/>
      <c r="AD3" s="136"/>
      <c r="AE3" s="136"/>
      <c r="AF3" s="136"/>
      <c r="AG3" s="139" t="s">
        <v>7</v>
      </c>
      <c r="AH3" s="139"/>
      <c r="AI3" s="140" t="s">
        <v>8</v>
      </c>
      <c r="AJ3" s="140"/>
      <c r="AK3" s="140"/>
      <c r="AL3" s="140"/>
      <c r="AM3" s="141" t="s">
        <v>9</v>
      </c>
      <c r="AN3" s="141"/>
      <c r="AO3" s="141"/>
      <c r="AP3" s="131" t="s">
        <v>10</v>
      </c>
      <c r="AQ3" s="131"/>
      <c r="AR3" s="132"/>
      <c r="AS3" s="135" t="s">
        <v>11</v>
      </c>
      <c r="AT3" s="46"/>
    </row>
    <row r="4" spans="1:47" s="39" customFormat="1" ht="101.25" x14ac:dyDescent="0.25">
      <c r="B4" s="47"/>
      <c r="C4" s="47"/>
      <c r="D4" s="48"/>
      <c r="E4" s="49"/>
      <c r="F4" s="50"/>
      <c r="G4" s="48"/>
      <c r="H4" s="48"/>
      <c r="I4" s="51"/>
      <c r="J4" s="51"/>
      <c r="K4" s="48"/>
      <c r="L4" s="52"/>
      <c r="M4" s="52"/>
      <c r="N4" s="48"/>
      <c r="O4" s="53"/>
      <c r="P4" s="54"/>
      <c r="Q4" s="53"/>
      <c r="R4" s="55"/>
      <c r="S4" s="56"/>
      <c r="T4" s="136"/>
      <c r="U4" s="136"/>
      <c r="V4" s="136"/>
      <c r="W4" s="136"/>
      <c r="X4" s="138"/>
      <c r="Y4" s="138"/>
      <c r="Z4" s="138"/>
      <c r="AA4" s="136" t="s">
        <v>12</v>
      </c>
      <c r="AB4" s="136"/>
      <c r="AC4" s="57" t="s">
        <v>13</v>
      </c>
      <c r="AD4" s="137" t="s">
        <v>14</v>
      </c>
      <c r="AE4" s="137"/>
      <c r="AF4" s="137"/>
      <c r="AG4" s="139"/>
      <c r="AH4" s="139"/>
      <c r="AI4" s="140"/>
      <c r="AJ4" s="140"/>
      <c r="AK4" s="140"/>
      <c r="AL4" s="140"/>
      <c r="AM4" s="141"/>
      <c r="AN4" s="141"/>
      <c r="AO4" s="141"/>
      <c r="AP4" s="133"/>
      <c r="AQ4" s="133"/>
      <c r="AR4" s="134"/>
      <c r="AS4" s="135"/>
      <c r="AT4" s="46"/>
    </row>
    <row r="5" spans="1:47" s="76" customFormat="1" ht="78.75" x14ac:dyDescent="0.4">
      <c r="A5" s="68" t="s">
        <v>45</v>
      </c>
      <c r="B5" s="58" t="s">
        <v>15</v>
      </c>
      <c r="C5" s="58" t="s">
        <v>16</v>
      </c>
      <c r="D5" s="58" t="s">
        <v>17</v>
      </c>
      <c r="E5" s="59" t="s">
        <v>18</v>
      </c>
      <c r="F5" s="58" t="s">
        <v>19</v>
      </c>
      <c r="G5" s="58" t="s">
        <v>20</v>
      </c>
      <c r="H5" s="58" t="s">
        <v>21</v>
      </c>
      <c r="I5" s="58" t="s">
        <v>22</v>
      </c>
      <c r="J5" s="58" t="s">
        <v>23</v>
      </c>
      <c r="K5" s="58" t="s">
        <v>24</v>
      </c>
      <c r="L5" s="60" t="s">
        <v>25</v>
      </c>
      <c r="M5" s="60" t="s">
        <v>26</v>
      </c>
      <c r="N5" s="58" t="s">
        <v>27</v>
      </c>
      <c r="O5" s="61" t="s">
        <v>28</v>
      </c>
      <c r="P5" s="61" t="s">
        <v>29</v>
      </c>
      <c r="Q5" s="61" t="s">
        <v>30</v>
      </c>
      <c r="R5" s="61" t="s">
        <v>31</v>
      </c>
      <c r="S5" s="61" t="s">
        <v>32</v>
      </c>
      <c r="T5" s="62" t="s">
        <v>33</v>
      </c>
      <c r="U5" s="63" t="s">
        <v>34</v>
      </c>
      <c r="V5" s="63" t="s">
        <v>35</v>
      </c>
      <c r="W5" s="63" t="s">
        <v>36</v>
      </c>
      <c r="X5" s="64" t="s">
        <v>37</v>
      </c>
      <c r="Y5" s="64" t="s">
        <v>38</v>
      </c>
      <c r="Z5" s="64" t="s">
        <v>39</v>
      </c>
      <c r="AA5" s="63" t="s">
        <v>40</v>
      </c>
      <c r="AB5" s="63" t="s">
        <v>41</v>
      </c>
      <c r="AC5" s="63" t="s">
        <v>41</v>
      </c>
      <c r="AD5" s="65" t="s">
        <v>40</v>
      </c>
      <c r="AE5" s="66" t="s">
        <v>42</v>
      </c>
      <c r="AF5" s="66" t="s">
        <v>43</v>
      </c>
      <c r="AG5" s="67" t="s">
        <v>40</v>
      </c>
      <c r="AH5" s="67" t="s">
        <v>44</v>
      </c>
      <c r="AI5" s="68" t="s">
        <v>45</v>
      </c>
      <c r="AJ5" s="69" t="s">
        <v>46</v>
      </c>
      <c r="AK5" s="70" t="s">
        <v>47</v>
      </c>
      <c r="AL5" s="70" t="s">
        <v>48</v>
      </c>
      <c r="AM5" s="71" t="s">
        <v>49</v>
      </c>
      <c r="AN5" s="72" t="s">
        <v>50</v>
      </c>
      <c r="AO5" s="72" t="s">
        <v>51</v>
      </c>
      <c r="AP5" s="73" t="s">
        <v>49</v>
      </c>
      <c r="AQ5" s="74" t="s">
        <v>50</v>
      </c>
      <c r="AR5" s="74" t="s">
        <v>51</v>
      </c>
      <c r="AS5" s="135"/>
      <c r="AT5" s="75"/>
    </row>
    <row r="6" spans="1:47" s="14" customFormat="1" ht="126" x14ac:dyDescent="0.7">
      <c r="A6" s="87">
        <v>9210</v>
      </c>
      <c r="B6" s="59">
        <v>1</v>
      </c>
      <c r="C6" s="77" t="s">
        <v>1</v>
      </c>
      <c r="D6" s="78" t="s">
        <v>52</v>
      </c>
      <c r="E6" s="79" t="s">
        <v>53</v>
      </c>
      <c r="F6" s="80" t="s">
        <v>54</v>
      </c>
      <c r="G6" s="81" t="s">
        <v>55</v>
      </c>
      <c r="H6" s="77" t="s">
        <v>56</v>
      </c>
      <c r="I6" s="77" t="s">
        <v>57</v>
      </c>
      <c r="J6" s="77" t="s">
        <v>57</v>
      </c>
      <c r="K6" s="79" t="s">
        <v>58</v>
      </c>
      <c r="L6" s="77">
        <v>1.51</v>
      </c>
      <c r="M6" s="77">
        <v>1.3978699999999999</v>
      </c>
      <c r="N6" s="77">
        <v>73</v>
      </c>
      <c r="O6" s="77">
        <v>4800</v>
      </c>
      <c r="P6" s="79" t="s">
        <v>59</v>
      </c>
      <c r="Q6" s="82">
        <v>0</v>
      </c>
      <c r="R6" s="83"/>
      <c r="S6" s="83"/>
      <c r="T6" s="84">
        <f>VLOOKUP(D6,[1]zmv022!C:AC,27,0)</f>
        <v>24</v>
      </c>
      <c r="U6" s="84">
        <f>VLOOKUP(D6,[1]zmv022!C:CB,78,0)</f>
        <v>0</v>
      </c>
      <c r="V6" s="84">
        <f>VLOOKUP(D6,[1]zmv022!C:CC,79,0)</f>
        <v>0</v>
      </c>
      <c r="W6" s="84">
        <f>VLOOKUP(D6,[1]zmv022!C:CD,80,0)</f>
        <v>0</v>
      </c>
      <c r="X6" s="84"/>
      <c r="Y6" s="84"/>
      <c r="Z6" s="84"/>
      <c r="AA6" s="84">
        <f>VLOOKUP(D6,[1]zmv032!D:L,9,0)</f>
        <v>24</v>
      </c>
      <c r="AB6" s="85">
        <f t="shared" ref="AB6:AB42" si="0">AA6*L6</f>
        <v>36.24</v>
      </c>
      <c r="AC6" s="84"/>
      <c r="AD6" s="84">
        <f t="shared" ref="AD6:AD27" si="1">AA6</f>
        <v>24</v>
      </c>
      <c r="AE6" s="85">
        <f t="shared" ref="AE6:AE42" si="2">AD6*M6</f>
        <v>33.548879999999997</v>
      </c>
      <c r="AF6" s="85">
        <f t="shared" ref="AF6:AF42" si="3">AD6*L6</f>
        <v>36.24</v>
      </c>
      <c r="AG6" s="84">
        <v>0</v>
      </c>
      <c r="AH6" s="86"/>
      <c r="AI6" s="87" t="str">
        <f>VLOOKUP(D6,[1]zmv032!D:K,8,0)</f>
        <v>9210</v>
      </c>
      <c r="AJ6" s="84">
        <f t="shared" ref="AJ6:AJ42" si="4">AA6</f>
        <v>24</v>
      </c>
      <c r="AK6" s="84">
        <f t="shared" ref="AK6:AK42" si="5">AD6</f>
        <v>24</v>
      </c>
      <c r="AL6" s="84" t="s">
        <v>60</v>
      </c>
      <c r="AM6" s="84">
        <f t="shared" ref="AM6:AM42" si="6">AK6</f>
        <v>24</v>
      </c>
      <c r="AN6" s="85">
        <f t="shared" ref="AN6:AN42" si="7">AM6*M6</f>
        <v>33.548879999999997</v>
      </c>
      <c r="AO6" s="85">
        <f t="shared" ref="AO6:AO42" si="8">AM6*L6</f>
        <v>36.24</v>
      </c>
      <c r="AP6" s="88">
        <v>0</v>
      </c>
      <c r="AQ6" s="89">
        <f>AP6*M6</f>
        <v>0</v>
      </c>
      <c r="AR6" s="90">
        <f>AP6*L6</f>
        <v>0</v>
      </c>
      <c r="AS6" s="58"/>
      <c r="AT6" s="91"/>
      <c r="AU6" s="91"/>
    </row>
    <row r="7" spans="1:47" s="14" customFormat="1" ht="126" x14ac:dyDescent="0.7">
      <c r="A7" s="87" t="s">
        <v>193</v>
      </c>
      <c r="B7" s="59">
        <v>2</v>
      </c>
      <c r="C7" s="77" t="s">
        <v>1</v>
      </c>
      <c r="D7" s="78" t="s">
        <v>61</v>
      </c>
      <c r="E7" s="79" t="s">
        <v>62</v>
      </c>
      <c r="F7" s="80" t="s">
        <v>54</v>
      </c>
      <c r="G7" s="81" t="s">
        <v>63</v>
      </c>
      <c r="H7" s="77" t="s">
        <v>56</v>
      </c>
      <c r="I7" s="77" t="s">
        <v>64</v>
      </c>
      <c r="J7" s="77" t="s">
        <v>65</v>
      </c>
      <c r="K7" s="79" t="s">
        <v>66</v>
      </c>
      <c r="L7" s="77">
        <v>2.41</v>
      </c>
      <c r="M7" s="77">
        <v>2.41</v>
      </c>
      <c r="N7" s="77">
        <v>44</v>
      </c>
      <c r="O7" s="77">
        <v>10</v>
      </c>
      <c r="P7" s="79" t="s">
        <v>67</v>
      </c>
      <c r="Q7" s="82"/>
      <c r="R7" s="83"/>
      <c r="S7" s="83"/>
      <c r="T7" s="84">
        <f>VLOOKUP(D7,[1]zmv022!C:AC,27,0)</f>
        <v>3</v>
      </c>
      <c r="U7" s="84">
        <f>VLOOKUP(D7,[1]zmv022!C:CB,78,0)</f>
        <v>0</v>
      </c>
      <c r="V7" s="84">
        <f>VLOOKUP(D7,[1]zmv022!C:CC,79,0)</f>
        <v>0</v>
      </c>
      <c r="W7" s="84">
        <f>VLOOKUP(D7,[1]zmv022!C:CD,80,0)</f>
        <v>0</v>
      </c>
      <c r="X7" s="84"/>
      <c r="Y7" s="84"/>
      <c r="Z7" s="84"/>
      <c r="AA7" s="84">
        <f>VLOOKUP(D7,[1]zmv032!D:L,9,0)</f>
        <v>3</v>
      </c>
      <c r="AB7" s="85">
        <f t="shared" si="0"/>
        <v>7.23</v>
      </c>
      <c r="AC7" s="84"/>
      <c r="AD7" s="84">
        <f t="shared" si="1"/>
        <v>3</v>
      </c>
      <c r="AE7" s="85">
        <f t="shared" si="2"/>
        <v>7.23</v>
      </c>
      <c r="AF7" s="85">
        <f t="shared" si="3"/>
        <v>7.23</v>
      </c>
      <c r="AG7" s="84">
        <v>0</v>
      </c>
      <c r="AH7" s="86"/>
      <c r="AI7" s="87" t="str">
        <f>VLOOKUP(D7,[1]zmv032!D:K,8,0)</f>
        <v>9C20</v>
      </c>
      <c r="AJ7" s="84">
        <f t="shared" si="4"/>
        <v>3</v>
      </c>
      <c r="AK7" s="84">
        <f t="shared" si="5"/>
        <v>3</v>
      </c>
      <c r="AL7" s="84" t="s">
        <v>60</v>
      </c>
      <c r="AM7" s="84">
        <f t="shared" si="6"/>
        <v>3</v>
      </c>
      <c r="AN7" s="85">
        <f t="shared" si="7"/>
        <v>7.23</v>
      </c>
      <c r="AO7" s="85">
        <f t="shared" si="8"/>
        <v>7.23</v>
      </c>
      <c r="AP7" s="88"/>
      <c r="AQ7" s="89"/>
      <c r="AR7" s="90"/>
      <c r="AS7" s="58"/>
      <c r="AT7" s="91"/>
      <c r="AU7" s="91"/>
    </row>
    <row r="8" spans="1:47" s="14" customFormat="1" ht="126" x14ac:dyDescent="0.7">
      <c r="A8" s="87" t="s">
        <v>193</v>
      </c>
      <c r="B8" s="59">
        <v>3</v>
      </c>
      <c r="C8" s="77" t="s">
        <v>1</v>
      </c>
      <c r="D8" s="78" t="s">
        <v>68</v>
      </c>
      <c r="E8" s="79" t="s">
        <v>69</v>
      </c>
      <c r="F8" s="80" t="s">
        <v>54</v>
      </c>
      <c r="G8" s="81" t="s">
        <v>70</v>
      </c>
      <c r="H8" s="77" t="s">
        <v>56</v>
      </c>
      <c r="I8" s="77" t="s">
        <v>71</v>
      </c>
      <c r="J8" s="77" t="s">
        <v>71</v>
      </c>
      <c r="K8" s="79" t="s">
        <v>72</v>
      </c>
      <c r="L8" s="77">
        <v>5.8009999999999999E-2</v>
      </c>
      <c r="M8" s="77">
        <v>5.8009999999999999E-2</v>
      </c>
      <c r="N8" s="77">
        <v>14</v>
      </c>
      <c r="O8" s="77">
        <v>100</v>
      </c>
      <c r="P8" s="79" t="s">
        <v>73</v>
      </c>
      <c r="Q8" s="82">
        <v>0</v>
      </c>
      <c r="R8" s="83"/>
      <c r="S8" s="83"/>
      <c r="T8" s="84">
        <f>VLOOKUP(D8,[1]zmv022!C:AC,27,0)</f>
        <v>44</v>
      </c>
      <c r="U8" s="84">
        <f>VLOOKUP(D8,[1]zmv022!C:CB,78,0)</f>
        <v>0</v>
      </c>
      <c r="V8" s="84">
        <f>VLOOKUP(D8,[1]zmv022!C:CC,79,0)</f>
        <v>0</v>
      </c>
      <c r="W8" s="84">
        <f>VLOOKUP(D8,[1]zmv022!C:CD,80,0)</f>
        <v>0</v>
      </c>
      <c r="X8" s="84"/>
      <c r="Y8" s="84"/>
      <c r="Z8" s="84"/>
      <c r="AA8" s="84">
        <f>VLOOKUP(D8,[1]zmv032!D:L,9,0)</f>
        <v>44</v>
      </c>
      <c r="AB8" s="85">
        <f t="shared" si="0"/>
        <v>2.5524399999999998</v>
      </c>
      <c r="AC8" s="84"/>
      <c r="AD8" s="84">
        <f t="shared" si="1"/>
        <v>44</v>
      </c>
      <c r="AE8" s="85">
        <f t="shared" si="2"/>
        <v>2.5524399999999998</v>
      </c>
      <c r="AF8" s="85">
        <f t="shared" si="3"/>
        <v>2.5524399999999998</v>
      </c>
      <c r="AG8" s="84">
        <v>0</v>
      </c>
      <c r="AH8" s="86"/>
      <c r="AI8" s="87" t="str">
        <f>VLOOKUP(D8,[1]zmv032!D:K,8,0)</f>
        <v>9C20</v>
      </c>
      <c r="AJ8" s="84">
        <f t="shared" si="4"/>
        <v>44</v>
      </c>
      <c r="AK8" s="84">
        <f t="shared" si="5"/>
        <v>44</v>
      </c>
      <c r="AL8" s="84" t="s">
        <v>74</v>
      </c>
      <c r="AM8" s="84">
        <f t="shared" si="6"/>
        <v>44</v>
      </c>
      <c r="AN8" s="85">
        <f t="shared" si="7"/>
        <v>2.5524399999999998</v>
      </c>
      <c r="AO8" s="85">
        <f t="shared" si="8"/>
        <v>2.5524399999999998</v>
      </c>
      <c r="AP8" s="88"/>
      <c r="AQ8" s="89"/>
      <c r="AR8" s="90"/>
      <c r="AS8" s="58"/>
      <c r="AT8" s="91"/>
      <c r="AU8" s="91"/>
    </row>
    <row r="9" spans="1:47" s="14" customFormat="1" ht="126" x14ac:dyDescent="0.7">
      <c r="A9" s="87" t="s">
        <v>193</v>
      </c>
      <c r="B9" s="59">
        <v>4</v>
      </c>
      <c r="C9" s="77" t="s">
        <v>1</v>
      </c>
      <c r="D9" s="78" t="s">
        <v>75</v>
      </c>
      <c r="E9" s="79" t="s">
        <v>76</v>
      </c>
      <c r="F9" s="80" t="s">
        <v>54</v>
      </c>
      <c r="G9" s="81" t="s">
        <v>70</v>
      </c>
      <c r="H9" s="77" t="s">
        <v>56</v>
      </c>
      <c r="I9" s="77" t="s">
        <v>71</v>
      </c>
      <c r="J9" s="77" t="s">
        <v>71</v>
      </c>
      <c r="K9" s="79" t="s">
        <v>72</v>
      </c>
      <c r="L9" s="77">
        <v>5.8009999999999999E-2</v>
      </c>
      <c r="M9" s="77">
        <v>5.8009999999999999E-2</v>
      </c>
      <c r="N9" s="77">
        <v>14</v>
      </c>
      <c r="O9" s="77">
        <v>100</v>
      </c>
      <c r="P9" s="79" t="s">
        <v>73</v>
      </c>
      <c r="Q9" s="82">
        <v>0</v>
      </c>
      <c r="R9" s="83"/>
      <c r="S9" s="83"/>
      <c r="T9" s="84">
        <f>VLOOKUP(D9,[1]zmv022!C:AC,27,0)</f>
        <v>44</v>
      </c>
      <c r="U9" s="84">
        <f>VLOOKUP(D9,[1]zmv022!C:CB,78,0)</f>
        <v>0</v>
      </c>
      <c r="V9" s="84">
        <f>VLOOKUP(D9,[1]zmv022!C:CC,79,0)</f>
        <v>0</v>
      </c>
      <c r="W9" s="84">
        <f>VLOOKUP(D9,[1]zmv022!C:CD,80,0)</f>
        <v>0</v>
      </c>
      <c r="X9" s="84"/>
      <c r="Y9" s="84"/>
      <c r="Z9" s="84"/>
      <c r="AA9" s="84">
        <f>VLOOKUP(D9,[1]zmv032!D:L,9,0)</f>
        <v>44</v>
      </c>
      <c r="AB9" s="85">
        <f t="shared" si="0"/>
        <v>2.5524399999999998</v>
      </c>
      <c r="AC9" s="84"/>
      <c r="AD9" s="84">
        <f t="shared" si="1"/>
        <v>44</v>
      </c>
      <c r="AE9" s="85">
        <f t="shared" si="2"/>
        <v>2.5524399999999998</v>
      </c>
      <c r="AF9" s="85">
        <f t="shared" si="3"/>
        <v>2.5524399999999998</v>
      </c>
      <c r="AG9" s="84">
        <v>0</v>
      </c>
      <c r="AH9" s="86"/>
      <c r="AI9" s="87" t="str">
        <f>VLOOKUP(D9,[1]zmv032!D:K,8,0)</f>
        <v>9C20</v>
      </c>
      <c r="AJ9" s="84">
        <f t="shared" si="4"/>
        <v>44</v>
      </c>
      <c r="AK9" s="84">
        <f t="shared" si="5"/>
        <v>44</v>
      </c>
      <c r="AL9" s="84" t="s">
        <v>74</v>
      </c>
      <c r="AM9" s="84">
        <f t="shared" si="6"/>
        <v>44</v>
      </c>
      <c r="AN9" s="85">
        <f t="shared" si="7"/>
        <v>2.5524399999999998</v>
      </c>
      <c r="AO9" s="85">
        <f t="shared" si="8"/>
        <v>2.5524399999999998</v>
      </c>
      <c r="AP9" s="88"/>
      <c r="AQ9" s="89"/>
      <c r="AR9" s="90"/>
      <c r="AS9" s="58"/>
      <c r="AT9" s="91"/>
      <c r="AU9" s="91"/>
    </row>
    <row r="10" spans="1:47" ht="126" x14ac:dyDescent="0.7">
      <c r="A10" s="87" t="s">
        <v>192</v>
      </c>
      <c r="B10" s="59">
        <v>5</v>
      </c>
      <c r="C10" s="77" t="s">
        <v>1</v>
      </c>
      <c r="D10" s="78" t="s">
        <v>77</v>
      </c>
      <c r="E10" s="79" t="s">
        <v>78</v>
      </c>
      <c r="F10" s="80" t="s">
        <v>79</v>
      </c>
      <c r="G10" s="81" t="s">
        <v>80</v>
      </c>
      <c r="H10" s="77" t="s">
        <v>56</v>
      </c>
      <c r="I10" s="77" t="s">
        <v>81</v>
      </c>
      <c r="J10" s="77" t="s">
        <v>82</v>
      </c>
      <c r="K10" s="79" t="s">
        <v>83</v>
      </c>
      <c r="L10" s="77">
        <v>2.384E-2</v>
      </c>
      <c r="M10" s="77">
        <v>2.1668831168831167E-2</v>
      </c>
      <c r="N10" s="77">
        <v>179</v>
      </c>
      <c r="O10" s="77">
        <v>3000</v>
      </c>
      <c r="P10" s="79" t="s">
        <v>84</v>
      </c>
      <c r="Q10" s="82">
        <v>0</v>
      </c>
      <c r="R10" s="83"/>
      <c r="S10" s="83"/>
      <c r="T10" s="84">
        <f>VLOOKUP(D10,[1]zmv022!C:AC,27,0)</f>
        <v>55</v>
      </c>
      <c r="U10" s="84">
        <f>VLOOKUP(D10,[1]zmv022!C:CB,78,0)</f>
        <v>0</v>
      </c>
      <c r="V10" s="84">
        <f>VLOOKUP(D10,[1]zmv022!C:CC,79,0)</f>
        <v>0</v>
      </c>
      <c r="W10" s="84">
        <f>VLOOKUP(D10,[1]zmv022!C:CD,80,0)</f>
        <v>0</v>
      </c>
      <c r="X10" s="84"/>
      <c r="Y10" s="84"/>
      <c r="Z10" s="84"/>
      <c r="AA10" s="84">
        <f>VLOOKUP(D10,[1]zmv032!D:L,9,0)</f>
        <v>55</v>
      </c>
      <c r="AB10" s="85">
        <f t="shared" si="0"/>
        <v>1.3111999999999999</v>
      </c>
      <c r="AC10" s="84"/>
      <c r="AD10" s="84">
        <f t="shared" si="1"/>
        <v>55</v>
      </c>
      <c r="AE10" s="85">
        <f t="shared" si="2"/>
        <v>1.1917857142857142</v>
      </c>
      <c r="AF10" s="85">
        <f t="shared" si="3"/>
        <v>1.3111999999999999</v>
      </c>
      <c r="AG10" s="84">
        <v>140</v>
      </c>
      <c r="AH10" s="86"/>
      <c r="AI10" s="87" t="str">
        <f>VLOOKUP(D10,[1]zmv032!D:K,8,0)</f>
        <v>9210</v>
      </c>
      <c r="AJ10" s="84">
        <f t="shared" si="4"/>
        <v>55</v>
      </c>
      <c r="AK10" s="84">
        <f t="shared" si="5"/>
        <v>55</v>
      </c>
      <c r="AL10" s="84" t="s">
        <v>60</v>
      </c>
      <c r="AM10" s="84">
        <f t="shared" si="6"/>
        <v>55</v>
      </c>
      <c r="AN10" s="85">
        <f t="shared" si="7"/>
        <v>1.1917857142857142</v>
      </c>
      <c r="AO10" s="85">
        <f t="shared" si="8"/>
        <v>1.3111999999999999</v>
      </c>
      <c r="AP10" s="88"/>
      <c r="AQ10" s="89"/>
      <c r="AR10" s="90"/>
      <c r="AS10" s="58"/>
      <c r="AT10" s="91"/>
    </row>
    <row r="11" spans="1:47" ht="126" x14ac:dyDescent="0.7">
      <c r="A11" s="87" t="s">
        <v>192</v>
      </c>
      <c r="B11" s="59">
        <v>6</v>
      </c>
      <c r="C11" s="77" t="s">
        <v>1</v>
      </c>
      <c r="D11" s="78" t="s">
        <v>85</v>
      </c>
      <c r="E11" s="79" t="s">
        <v>86</v>
      </c>
      <c r="F11" s="80" t="s">
        <v>79</v>
      </c>
      <c r="G11" s="81" t="s">
        <v>80</v>
      </c>
      <c r="H11" s="77" t="s">
        <v>56</v>
      </c>
      <c r="I11" s="77" t="s">
        <v>81</v>
      </c>
      <c r="J11" s="77" t="s">
        <v>82</v>
      </c>
      <c r="K11" s="79" t="s">
        <v>83</v>
      </c>
      <c r="L11" s="77">
        <v>7.4099999999999999E-3</v>
      </c>
      <c r="M11" s="77">
        <v>6.7337662337662342E-3</v>
      </c>
      <c r="N11" s="77">
        <v>101</v>
      </c>
      <c r="O11" s="77">
        <v>5000</v>
      </c>
      <c r="P11" s="79" t="s">
        <v>84</v>
      </c>
      <c r="Q11" s="82">
        <v>0</v>
      </c>
      <c r="R11" s="83"/>
      <c r="S11" s="83"/>
      <c r="T11" s="84">
        <f>VLOOKUP(D11,[1]zmv022!C:AC,27,0)</f>
        <v>128</v>
      </c>
      <c r="U11" s="84">
        <f>VLOOKUP(D11,[1]zmv022!C:CB,78,0)</f>
        <v>0</v>
      </c>
      <c r="V11" s="84">
        <f>VLOOKUP(D11,[1]zmv022!C:CC,79,0)</f>
        <v>0</v>
      </c>
      <c r="W11" s="84">
        <f>VLOOKUP(D11,[1]zmv022!C:CD,80,0)</f>
        <v>0</v>
      </c>
      <c r="X11" s="84"/>
      <c r="Y11" s="84"/>
      <c r="Z11" s="84"/>
      <c r="AA11" s="84">
        <f>VLOOKUP(D11,[1]zmv032!D:L,9,0)</f>
        <v>128</v>
      </c>
      <c r="AB11" s="85">
        <f t="shared" si="0"/>
        <v>0.94847999999999999</v>
      </c>
      <c r="AC11" s="84"/>
      <c r="AD11" s="84">
        <f t="shared" si="1"/>
        <v>128</v>
      </c>
      <c r="AE11" s="85">
        <f t="shared" si="2"/>
        <v>0.86192207792207798</v>
      </c>
      <c r="AF11" s="85">
        <f t="shared" si="3"/>
        <v>0.94847999999999999</v>
      </c>
      <c r="AG11" s="84">
        <v>151</v>
      </c>
      <c r="AH11" s="86"/>
      <c r="AI11" s="87" t="str">
        <f>VLOOKUP(D11,[1]zmv032!D:K,8,0)</f>
        <v>9210</v>
      </c>
      <c r="AJ11" s="84">
        <f t="shared" si="4"/>
        <v>128</v>
      </c>
      <c r="AK11" s="84">
        <f t="shared" si="5"/>
        <v>128</v>
      </c>
      <c r="AL11" s="84" t="s">
        <v>60</v>
      </c>
      <c r="AM11" s="84">
        <f t="shared" si="6"/>
        <v>128</v>
      </c>
      <c r="AN11" s="85">
        <f t="shared" si="7"/>
        <v>0.86192207792207798</v>
      </c>
      <c r="AO11" s="85">
        <f t="shared" si="8"/>
        <v>0.94847999999999999</v>
      </c>
      <c r="AP11" s="88"/>
      <c r="AQ11" s="89"/>
      <c r="AR11" s="90"/>
      <c r="AS11" s="58"/>
      <c r="AT11" s="14" t="s">
        <v>87</v>
      </c>
    </row>
    <row r="12" spans="1:47" ht="84" x14ac:dyDescent="0.65">
      <c r="A12" s="87" t="s">
        <v>192</v>
      </c>
      <c r="B12" s="59">
        <v>7</v>
      </c>
      <c r="C12" s="77" t="s">
        <v>1</v>
      </c>
      <c r="D12" s="78" t="s">
        <v>88</v>
      </c>
      <c r="E12" s="79" t="s">
        <v>86</v>
      </c>
      <c r="F12" s="80" t="s">
        <v>79</v>
      </c>
      <c r="G12" s="81" t="s">
        <v>89</v>
      </c>
      <c r="H12" s="77" t="s">
        <v>56</v>
      </c>
      <c r="I12" s="77" t="s">
        <v>90</v>
      </c>
      <c r="J12" s="77" t="s">
        <v>90</v>
      </c>
      <c r="K12" s="79" t="s">
        <v>91</v>
      </c>
      <c r="L12" s="77">
        <v>2.8000000000000003E-4</v>
      </c>
      <c r="M12" s="77">
        <v>0.01</v>
      </c>
      <c r="N12" s="77">
        <v>14</v>
      </c>
      <c r="O12" s="77">
        <v>1</v>
      </c>
      <c r="P12" s="79" t="s">
        <v>84</v>
      </c>
      <c r="Q12" s="82">
        <v>0</v>
      </c>
      <c r="R12" s="92"/>
      <c r="S12" s="92"/>
      <c r="T12" s="84">
        <f>VLOOKUP(D12,[1]zmv022!C:AC,27,0)</f>
        <v>70</v>
      </c>
      <c r="U12" s="84">
        <f>VLOOKUP(D12,[1]zmv022!C:CB,78,0)</f>
        <v>0</v>
      </c>
      <c r="V12" s="84">
        <f>VLOOKUP(D12,[1]zmv022!C:CC,79,0)</f>
        <v>0</v>
      </c>
      <c r="W12" s="84">
        <f>VLOOKUP(D12,[1]zmv022!C:CD,80,0)</f>
        <v>0</v>
      </c>
      <c r="X12" s="84"/>
      <c r="Y12" s="84"/>
      <c r="Z12" s="84"/>
      <c r="AA12" s="84">
        <f>VLOOKUP(D12,[1]zmv032!D:L,9,0)</f>
        <v>70</v>
      </c>
      <c r="AB12" s="85">
        <f t="shared" si="0"/>
        <v>1.9600000000000003E-2</v>
      </c>
      <c r="AC12" s="84"/>
      <c r="AD12" s="84">
        <f t="shared" si="1"/>
        <v>70</v>
      </c>
      <c r="AE12" s="85">
        <f t="shared" si="2"/>
        <v>0.70000000000000007</v>
      </c>
      <c r="AF12" s="85">
        <f t="shared" si="3"/>
        <v>1.9600000000000003E-2</v>
      </c>
      <c r="AG12" s="84">
        <v>0</v>
      </c>
      <c r="AH12" s="85">
        <f>AG12*M12</f>
        <v>0</v>
      </c>
      <c r="AI12" s="87" t="str">
        <f>VLOOKUP(D12,[1]zmv032!D:K,8,0)</f>
        <v>9210</v>
      </c>
      <c r="AJ12" s="84">
        <f t="shared" si="4"/>
        <v>70</v>
      </c>
      <c r="AK12" s="84">
        <f t="shared" si="5"/>
        <v>70</v>
      </c>
      <c r="AL12" s="84" t="s">
        <v>60</v>
      </c>
      <c r="AM12" s="84">
        <f t="shared" si="6"/>
        <v>70</v>
      </c>
      <c r="AN12" s="85">
        <f t="shared" si="7"/>
        <v>0.70000000000000007</v>
      </c>
      <c r="AO12" s="85">
        <f t="shared" si="8"/>
        <v>1.9600000000000003E-2</v>
      </c>
      <c r="AP12" s="88"/>
      <c r="AQ12" s="89"/>
      <c r="AR12" s="90"/>
      <c r="AS12" s="58"/>
    </row>
    <row r="13" spans="1:47" ht="126" x14ac:dyDescent="0.7">
      <c r="A13" s="87" t="s">
        <v>192</v>
      </c>
      <c r="B13" s="59">
        <v>8</v>
      </c>
      <c r="C13" s="77" t="s">
        <v>1</v>
      </c>
      <c r="D13" s="78" t="s">
        <v>92</v>
      </c>
      <c r="E13" s="79" t="s">
        <v>86</v>
      </c>
      <c r="F13" s="80" t="s">
        <v>79</v>
      </c>
      <c r="G13" s="81" t="s">
        <v>93</v>
      </c>
      <c r="H13" s="77" t="s">
        <v>56</v>
      </c>
      <c r="I13" s="77" t="s">
        <v>64</v>
      </c>
      <c r="J13" s="77" t="s">
        <v>71</v>
      </c>
      <c r="K13" s="79" t="s">
        <v>94</v>
      </c>
      <c r="L13" s="77">
        <v>1.1799999999999998E-3</v>
      </c>
      <c r="M13" s="77">
        <v>1.1799999999999998E-3</v>
      </c>
      <c r="N13" s="77">
        <v>81</v>
      </c>
      <c r="O13" s="77">
        <v>5000</v>
      </c>
      <c r="P13" s="79" t="s">
        <v>84</v>
      </c>
      <c r="Q13" s="82">
        <v>0</v>
      </c>
      <c r="R13" s="83"/>
      <c r="S13" s="83"/>
      <c r="T13" s="84">
        <f>VLOOKUP(D13,[1]zmv022!C:AC,27,0)</f>
        <v>119</v>
      </c>
      <c r="U13" s="84">
        <f>VLOOKUP(D13,[1]zmv022!C:CB,78,0)</f>
        <v>0</v>
      </c>
      <c r="V13" s="84">
        <f>VLOOKUP(D13,[1]zmv022!C:CC,79,0)</f>
        <v>0</v>
      </c>
      <c r="W13" s="84">
        <f>VLOOKUP(D13,[1]zmv022!C:CD,80,0)</f>
        <v>0</v>
      </c>
      <c r="X13" s="84"/>
      <c r="Y13" s="84"/>
      <c r="Z13" s="84"/>
      <c r="AA13" s="84">
        <f>VLOOKUP(D13,[1]zmv032!D:L,9,0)</f>
        <v>119</v>
      </c>
      <c r="AB13" s="85">
        <f t="shared" si="0"/>
        <v>0.14041999999999999</v>
      </c>
      <c r="AC13" s="84"/>
      <c r="AD13" s="84">
        <f t="shared" si="1"/>
        <v>119</v>
      </c>
      <c r="AE13" s="85">
        <f t="shared" si="2"/>
        <v>0.14041999999999999</v>
      </c>
      <c r="AF13" s="85">
        <f t="shared" si="3"/>
        <v>0.14041999999999999</v>
      </c>
      <c r="AG13" s="84">
        <v>597</v>
      </c>
      <c r="AH13" s="86"/>
      <c r="AI13" s="87" t="str">
        <f>VLOOKUP(D13,[1]zmv032!D:K,8,0)</f>
        <v>9210</v>
      </c>
      <c r="AJ13" s="84">
        <f t="shared" si="4"/>
        <v>119</v>
      </c>
      <c r="AK13" s="84">
        <f t="shared" si="5"/>
        <v>119</v>
      </c>
      <c r="AL13" s="84" t="s">
        <v>60</v>
      </c>
      <c r="AM13" s="84">
        <f t="shared" si="6"/>
        <v>119</v>
      </c>
      <c r="AN13" s="85">
        <f t="shared" si="7"/>
        <v>0.14041999999999999</v>
      </c>
      <c r="AO13" s="85">
        <f t="shared" si="8"/>
        <v>0.14041999999999999</v>
      </c>
      <c r="AP13" s="88"/>
      <c r="AQ13" s="89"/>
      <c r="AR13" s="90"/>
      <c r="AS13" s="58"/>
      <c r="AT13" s="14" t="s">
        <v>87</v>
      </c>
    </row>
    <row r="14" spans="1:47" ht="126" x14ac:dyDescent="0.7">
      <c r="A14" s="87" t="s">
        <v>192</v>
      </c>
      <c r="B14" s="59">
        <v>9</v>
      </c>
      <c r="C14" s="77" t="s">
        <v>1</v>
      </c>
      <c r="D14" s="78" t="s">
        <v>95</v>
      </c>
      <c r="E14" s="79" t="s">
        <v>86</v>
      </c>
      <c r="F14" s="80" t="s">
        <v>79</v>
      </c>
      <c r="G14" s="81" t="s">
        <v>80</v>
      </c>
      <c r="H14" s="77" t="s">
        <v>56</v>
      </c>
      <c r="I14" s="77" t="s">
        <v>81</v>
      </c>
      <c r="J14" s="77" t="s">
        <v>82</v>
      </c>
      <c r="K14" s="79" t="s">
        <v>83</v>
      </c>
      <c r="L14" s="77">
        <v>1.32E-3</v>
      </c>
      <c r="M14" s="77">
        <v>1.2012987012987014E-3</v>
      </c>
      <c r="N14" s="77">
        <v>73</v>
      </c>
      <c r="O14" s="77">
        <v>5000</v>
      </c>
      <c r="P14" s="79" t="s">
        <v>84</v>
      </c>
      <c r="Q14" s="82">
        <v>0</v>
      </c>
      <c r="R14" s="83"/>
      <c r="S14" s="83"/>
      <c r="T14" s="84">
        <f>VLOOKUP(D14,[1]zmv022!C:AC,27,0)</f>
        <v>86</v>
      </c>
      <c r="U14" s="84">
        <f>VLOOKUP(D14,[1]zmv022!C:CB,78,0)</f>
        <v>0</v>
      </c>
      <c r="V14" s="84">
        <f>VLOOKUP(D14,[1]zmv022!C:CC,79,0)</f>
        <v>0</v>
      </c>
      <c r="W14" s="84">
        <f>VLOOKUP(D14,[1]zmv022!C:CD,80,0)</f>
        <v>0</v>
      </c>
      <c r="X14" s="84"/>
      <c r="Y14" s="84"/>
      <c r="Z14" s="84"/>
      <c r="AA14" s="84">
        <f>VLOOKUP(D14,[1]zmv032!D:L,9,0)</f>
        <v>86</v>
      </c>
      <c r="AB14" s="85">
        <f t="shared" si="0"/>
        <v>0.11352</v>
      </c>
      <c r="AC14" s="84"/>
      <c r="AD14" s="84">
        <f t="shared" si="1"/>
        <v>86</v>
      </c>
      <c r="AE14" s="85">
        <f t="shared" si="2"/>
        <v>0.10331168831168831</v>
      </c>
      <c r="AF14" s="85">
        <f t="shared" si="3"/>
        <v>0.11352</v>
      </c>
      <c r="AG14" s="84">
        <v>1450</v>
      </c>
      <c r="AH14" s="86"/>
      <c r="AI14" s="87" t="str">
        <f>VLOOKUP(D14,[1]zmv032!D:K,8,0)</f>
        <v>9210</v>
      </c>
      <c r="AJ14" s="84">
        <f t="shared" si="4"/>
        <v>86</v>
      </c>
      <c r="AK14" s="84">
        <f t="shared" si="5"/>
        <v>86</v>
      </c>
      <c r="AL14" s="84" t="s">
        <v>60</v>
      </c>
      <c r="AM14" s="84">
        <f t="shared" si="6"/>
        <v>86</v>
      </c>
      <c r="AN14" s="85">
        <f t="shared" si="7"/>
        <v>0.10331168831168831</v>
      </c>
      <c r="AO14" s="85">
        <f t="shared" si="8"/>
        <v>0.11352</v>
      </c>
      <c r="AP14" s="88"/>
      <c r="AQ14" s="89"/>
      <c r="AR14" s="90"/>
      <c r="AS14" s="58"/>
    </row>
    <row r="15" spans="1:47" ht="126" x14ac:dyDescent="0.65">
      <c r="A15" s="87" t="s">
        <v>194</v>
      </c>
      <c r="B15" s="59">
        <v>10</v>
      </c>
      <c r="C15" s="77" t="s">
        <v>1</v>
      </c>
      <c r="D15" s="78" t="s">
        <v>96</v>
      </c>
      <c r="E15" s="79" t="s">
        <v>97</v>
      </c>
      <c r="F15" s="80" t="s">
        <v>79</v>
      </c>
      <c r="G15" s="81" t="s">
        <v>80</v>
      </c>
      <c r="H15" s="77" t="s">
        <v>56</v>
      </c>
      <c r="I15" s="77" t="s">
        <v>98</v>
      </c>
      <c r="J15" s="77" t="s">
        <v>98</v>
      </c>
      <c r="K15" s="79" t="s">
        <v>83</v>
      </c>
      <c r="L15" s="77">
        <v>7.3400000000000002E-3</v>
      </c>
      <c r="M15" s="77">
        <v>6.6688311688311687E-3</v>
      </c>
      <c r="N15" s="77">
        <v>43</v>
      </c>
      <c r="O15" s="77">
        <v>1000</v>
      </c>
      <c r="P15" s="79" t="s">
        <v>84</v>
      </c>
      <c r="Q15" s="82">
        <v>0</v>
      </c>
      <c r="R15" s="92"/>
      <c r="S15" s="92"/>
      <c r="T15" s="84">
        <f>VLOOKUP(D15,[1]zmv022!C:AC,27,0)</f>
        <v>3</v>
      </c>
      <c r="U15" s="84">
        <f>VLOOKUP(D15,[1]zmv022!C:CB,78,0)</f>
        <v>0</v>
      </c>
      <c r="V15" s="84">
        <f>VLOOKUP(D15,[1]zmv022!C:CC,79,0)</f>
        <v>0</v>
      </c>
      <c r="W15" s="84">
        <f>VLOOKUP(D15,[1]zmv022!C:CD,80,0)</f>
        <v>0</v>
      </c>
      <c r="X15" s="84"/>
      <c r="Y15" s="84"/>
      <c r="Z15" s="84"/>
      <c r="AA15" s="84">
        <f>VLOOKUP(D15,[1]zmv032!D:L,9,0)</f>
        <v>3</v>
      </c>
      <c r="AB15" s="85">
        <f t="shared" si="0"/>
        <v>2.2020000000000001E-2</v>
      </c>
      <c r="AC15" s="84"/>
      <c r="AD15" s="84">
        <f t="shared" si="1"/>
        <v>3</v>
      </c>
      <c r="AE15" s="85">
        <f t="shared" si="2"/>
        <v>2.0006493506493507E-2</v>
      </c>
      <c r="AF15" s="85">
        <f t="shared" si="3"/>
        <v>2.2020000000000001E-2</v>
      </c>
      <c r="AG15" s="84">
        <v>133</v>
      </c>
      <c r="AH15" s="85">
        <f>AG15*M15</f>
        <v>0.88695454545454544</v>
      </c>
      <c r="AI15" s="87" t="str">
        <f>VLOOKUP(D15,[1]zmv032!D:K,8,0)</f>
        <v>9S20</v>
      </c>
      <c r="AJ15" s="84">
        <f t="shared" si="4"/>
        <v>3</v>
      </c>
      <c r="AK15" s="84">
        <f t="shared" si="5"/>
        <v>3</v>
      </c>
      <c r="AL15" s="84" t="s">
        <v>60</v>
      </c>
      <c r="AM15" s="84">
        <f t="shared" si="6"/>
        <v>3</v>
      </c>
      <c r="AN15" s="85">
        <f t="shared" si="7"/>
        <v>2.0006493506493507E-2</v>
      </c>
      <c r="AO15" s="85">
        <f t="shared" si="8"/>
        <v>2.2020000000000001E-2</v>
      </c>
      <c r="AP15" s="88"/>
      <c r="AQ15" s="89"/>
      <c r="AR15" s="90"/>
      <c r="AS15" s="58"/>
    </row>
    <row r="16" spans="1:47" ht="126" x14ac:dyDescent="0.7">
      <c r="A16" s="87" t="s">
        <v>192</v>
      </c>
      <c r="B16" s="59">
        <v>11</v>
      </c>
      <c r="C16" s="77" t="s">
        <v>1</v>
      </c>
      <c r="D16" s="78" t="s">
        <v>99</v>
      </c>
      <c r="E16" s="79" t="s">
        <v>86</v>
      </c>
      <c r="F16" s="80" t="s">
        <v>79</v>
      </c>
      <c r="G16" s="81" t="s">
        <v>93</v>
      </c>
      <c r="H16" s="77" t="s">
        <v>56</v>
      </c>
      <c r="I16" s="77" t="s">
        <v>64</v>
      </c>
      <c r="J16" s="77" t="s">
        <v>71</v>
      </c>
      <c r="K16" s="79" t="s">
        <v>94</v>
      </c>
      <c r="L16" s="77">
        <v>2.6000000000000003E-4</v>
      </c>
      <c r="M16" s="77">
        <v>2.6000000000000003E-4</v>
      </c>
      <c r="N16" s="77">
        <v>81</v>
      </c>
      <c r="O16" s="77">
        <v>10000</v>
      </c>
      <c r="P16" s="79" t="s">
        <v>84</v>
      </c>
      <c r="Q16" s="82">
        <v>0</v>
      </c>
      <c r="R16" s="83"/>
      <c r="S16" s="83"/>
      <c r="T16" s="84">
        <f>VLOOKUP(D16,[1]zmv022!C:AC,27,0)</f>
        <v>39</v>
      </c>
      <c r="U16" s="84">
        <f>VLOOKUP(D16,[1]zmv022!C:CB,78,0)</f>
        <v>0</v>
      </c>
      <c r="V16" s="84">
        <f>VLOOKUP(D16,[1]zmv022!C:CC,79,0)</f>
        <v>0</v>
      </c>
      <c r="W16" s="84">
        <f>VLOOKUP(D16,[1]zmv022!C:CD,80,0)</f>
        <v>0</v>
      </c>
      <c r="X16" s="84"/>
      <c r="Y16" s="84"/>
      <c r="Z16" s="84"/>
      <c r="AA16" s="84">
        <f>VLOOKUP(D16,[1]zmv032!D:L,9,0)</f>
        <v>39</v>
      </c>
      <c r="AB16" s="85">
        <f t="shared" si="0"/>
        <v>1.0140000000000001E-2</v>
      </c>
      <c r="AC16" s="84"/>
      <c r="AD16" s="84">
        <f t="shared" si="1"/>
        <v>39</v>
      </c>
      <c r="AE16" s="85">
        <f t="shared" si="2"/>
        <v>1.0140000000000001E-2</v>
      </c>
      <c r="AF16" s="85">
        <f t="shared" si="3"/>
        <v>1.0140000000000001E-2</v>
      </c>
      <c r="AG16" s="84">
        <v>0</v>
      </c>
      <c r="AH16" s="86"/>
      <c r="AI16" s="87" t="str">
        <f>VLOOKUP(D16,[1]zmv032!D:K,8,0)</f>
        <v>9210</v>
      </c>
      <c r="AJ16" s="84">
        <f t="shared" si="4"/>
        <v>39</v>
      </c>
      <c r="AK16" s="84">
        <f t="shared" si="5"/>
        <v>39</v>
      </c>
      <c r="AL16" s="84" t="s">
        <v>60</v>
      </c>
      <c r="AM16" s="84">
        <f t="shared" si="6"/>
        <v>39</v>
      </c>
      <c r="AN16" s="85">
        <f t="shared" si="7"/>
        <v>1.0140000000000001E-2</v>
      </c>
      <c r="AO16" s="85">
        <f t="shared" si="8"/>
        <v>1.0140000000000001E-2</v>
      </c>
      <c r="AP16" s="88"/>
      <c r="AQ16" s="89"/>
      <c r="AR16" s="90"/>
      <c r="AS16" s="58"/>
      <c r="AT16" s="93" t="s">
        <v>100</v>
      </c>
    </row>
    <row r="17" spans="1:47" s="14" customFormat="1" ht="156" x14ac:dyDescent="0.5">
      <c r="A17" s="111">
        <v>1210</v>
      </c>
      <c r="B17" s="59">
        <v>12</v>
      </c>
      <c r="C17" s="59" t="s">
        <v>101</v>
      </c>
      <c r="D17" s="103" t="s">
        <v>102</v>
      </c>
      <c r="E17" s="103" t="s">
        <v>103</v>
      </c>
      <c r="F17" s="80" t="s">
        <v>104</v>
      </c>
      <c r="G17" s="59" t="s">
        <v>105</v>
      </c>
      <c r="H17" s="59" t="s">
        <v>56</v>
      </c>
      <c r="I17" s="59" t="s">
        <v>106</v>
      </c>
      <c r="J17" s="59" t="s">
        <v>107</v>
      </c>
      <c r="K17" s="104" t="s">
        <v>108</v>
      </c>
      <c r="L17" s="59">
        <v>1.47</v>
      </c>
      <c r="M17" s="59">
        <v>1.47</v>
      </c>
      <c r="N17" s="59">
        <v>119</v>
      </c>
      <c r="O17" s="59">
        <v>5000</v>
      </c>
      <c r="P17" s="104" t="s">
        <v>109</v>
      </c>
      <c r="Q17" s="105"/>
      <c r="R17" s="106"/>
      <c r="S17" s="106"/>
      <c r="T17" s="107">
        <f>VLOOKUP(D17,[2]zmv022!C:AC,27,0)</f>
        <v>572</v>
      </c>
      <c r="U17" s="107">
        <f>VLOOKUP(D17,[2]zmv022!C:CB,78,0)</f>
        <v>0</v>
      </c>
      <c r="V17" s="107">
        <f>VLOOKUP(D17,[2]zmv022!C:CC,79,0)</f>
        <v>0</v>
      </c>
      <c r="W17" s="107">
        <f>VLOOKUP(D17,[2]zmv022!C:CD,80,0)</f>
        <v>0</v>
      </c>
      <c r="X17" s="108"/>
      <c r="Y17" s="108"/>
      <c r="Z17" s="108"/>
      <c r="AA17" s="108">
        <f>VLOOKUP(D17,[2]zmv032!D:L,9,0)</f>
        <v>572</v>
      </c>
      <c r="AB17" s="109">
        <f t="shared" si="0"/>
        <v>840.84</v>
      </c>
      <c r="AC17" s="108"/>
      <c r="AD17" s="107">
        <f t="shared" si="1"/>
        <v>572</v>
      </c>
      <c r="AE17" s="109">
        <f t="shared" si="2"/>
        <v>840.84</v>
      </c>
      <c r="AF17" s="109">
        <f t="shared" si="3"/>
        <v>840.84</v>
      </c>
      <c r="AG17" s="108">
        <v>0</v>
      </c>
      <c r="AH17" s="110"/>
      <c r="AI17" s="111" t="str">
        <f>VLOOKUP(D17,[2]zmv032!D:K,8,0)</f>
        <v>1210</v>
      </c>
      <c r="AJ17" s="108">
        <f t="shared" si="4"/>
        <v>572</v>
      </c>
      <c r="AK17" s="108">
        <f t="shared" si="5"/>
        <v>572</v>
      </c>
      <c r="AL17" s="108" t="s">
        <v>74</v>
      </c>
      <c r="AM17" s="108">
        <f t="shared" si="6"/>
        <v>572</v>
      </c>
      <c r="AN17" s="109">
        <f t="shared" si="7"/>
        <v>840.84</v>
      </c>
      <c r="AO17" s="109">
        <f t="shared" si="8"/>
        <v>840.84</v>
      </c>
      <c r="AP17" s="88"/>
      <c r="AQ17" s="89"/>
      <c r="AR17" s="90"/>
      <c r="AS17" s="58"/>
      <c r="AT17" s="112" t="s">
        <v>110</v>
      </c>
      <c r="AU17" s="91"/>
    </row>
    <row r="18" spans="1:47" s="14" customFormat="1" ht="117" x14ac:dyDescent="0.5">
      <c r="A18" s="111">
        <v>1112</v>
      </c>
      <c r="B18" s="59">
        <v>13</v>
      </c>
      <c r="C18" s="59" t="s">
        <v>101</v>
      </c>
      <c r="D18" s="103" t="s">
        <v>111</v>
      </c>
      <c r="E18" s="103" t="s">
        <v>112</v>
      </c>
      <c r="F18" s="80" t="s">
        <v>113</v>
      </c>
      <c r="G18" s="59" t="s">
        <v>114</v>
      </c>
      <c r="H18" s="59" t="s">
        <v>56</v>
      </c>
      <c r="I18" s="59" t="s">
        <v>106</v>
      </c>
      <c r="J18" s="59" t="s">
        <v>115</v>
      </c>
      <c r="K18" s="104" t="s">
        <v>116</v>
      </c>
      <c r="L18" s="59">
        <v>0.22009999999999999</v>
      </c>
      <c r="M18" s="59">
        <v>0.22009999999999999</v>
      </c>
      <c r="N18" s="59">
        <v>14</v>
      </c>
      <c r="O18" s="59">
        <v>270</v>
      </c>
      <c r="P18" s="104" t="s">
        <v>117</v>
      </c>
      <c r="Q18" s="105">
        <v>0</v>
      </c>
      <c r="R18" s="106"/>
      <c r="S18" s="106"/>
      <c r="T18" s="107">
        <f>VLOOKUP(D18,[2]zmv022!C:AC,27,0)</f>
        <v>135</v>
      </c>
      <c r="U18" s="107">
        <f>VLOOKUP(D18,[2]zmv022!C:CB,78,0)</f>
        <v>0</v>
      </c>
      <c r="V18" s="107">
        <f>VLOOKUP(D18,[2]zmv022!C:CC,79,0)</f>
        <v>0</v>
      </c>
      <c r="W18" s="107">
        <f>VLOOKUP(D18,[2]zmv022!C:CD,80,0)</f>
        <v>0</v>
      </c>
      <c r="X18" s="108"/>
      <c r="Y18" s="108"/>
      <c r="Z18" s="108"/>
      <c r="AA18" s="108">
        <f>VLOOKUP(D18,[2]zmv032!D:L,9,0)</f>
        <v>135</v>
      </c>
      <c r="AB18" s="109">
        <f t="shared" si="0"/>
        <v>29.7135</v>
      </c>
      <c r="AC18" s="108"/>
      <c r="AD18" s="107">
        <f t="shared" si="1"/>
        <v>135</v>
      </c>
      <c r="AE18" s="109">
        <f t="shared" si="2"/>
        <v>29.7135</v>
      </c>
      <c r="AF18" s="109">
        <f t="shared" si="3"/>
        <v>29.7135</v>
      </c>
      <c r="AG18" s="108">
        <v>0</v>
      </c>
      <c r="AH18" s="110"/>
      <c r="AI18" s="111" t="str">
        <f>VLOOKUP(D18,[2]zmv032!D:K,8,0)</f>
        <v>1112</v>
      </c>
      <c r="AJ18" s="108">
        <f t="shared" si="4"/>
        <v>135</v>
      </c>
      <c r="AK18" s="108">
        <f t="shared" si="5"/>
        <v>135</v>
      </c>
      <c r="AL18" s="108" t="s">
        <v>74</v>
      </c>
      <c r="AM18" s="108">
        <f t="shared" si="6"/>
        <v>135</v>
      </c>
      <c r="AN18" s="109">
        <f t="shared" si="7"/>
        <v>29.7135</v>
      </c>
      <c r="AO18" s="109">
        <f t="shared" si="8"/>
        <v>29.7135</v>
      </c>
      <c r="AP18" s="88"/>
      <c r="AQ18" s="89"/>
      <c r="AR18" s="90"/>
      <c r="AS18" s="58"/>
      <c r="AT18" s="112"/>
      <c r="AU18" s="91"/>
    </row>
    <row r="19" spans="1:47" s="14" customFormat="1" ht="117" x14ac:dyDescent="0.5">
      <c r="A19" s="111" t="s">
        <v>197</v>
      </c>
      <c r="B19" s="59">
        <v>14</v>
      </c>
      <c r="C19" s="59" t="s">
        <v>101</v>
      </c>
      <c r="D19" s="103" t="s">
        <v>118</v>
      </c>
      <c r="E19" s="103" t="s">
        <v>119</v>
      </c>
      <c r="F19" s="80" t="s">
        <v>104</v>
      </c>
      <c r="G19" s="59" t="s">
        <v>120</v>
      </c>
      <c r="H19" s="59" t="s">
        <v>56</v>
      </c>
      <c r="I19" s="59" t="s">
        <v>121</v>
      </c>
      <c r="J19" s="59" t="s">
        <v>121</v>
      </c>
      <c r="K19" s="104" t="s">
        <v>122</v>
      </c>
      <c r="L19" s="59">
        <v>0.2399</v>
      </c>
      <c r="M19" s="59">
        <v>0.2399</v>
      </c>
      <c r="N19" s="59">
        <v>14</v>
      </c>
      <c r="O19" s="59">
        <v>300</v>
      </c>
      <c r="P19" s="104" t="s">
        <v>123</v>
      </c>
      <c r="Q19" s="105">
        <v>0</v>
      </c>
      <c r="R19" s="106"/>
      <c r="S19" s="106"/>
      <c r="T19" s="107">
        <f>VLOOKUP(D19,[2]zmv022!C:AC,27,0)</f>
        <v>61</v>
      </c>
      <c r="U19" s="107">
        <f>VLOOKUP(D19,[2]zmv022!C:CB,78,0)</f>
        <v>0</v>
      </c>
      <c r="V19" s="107">
        <f>VLOOKUP(D19,[2]zmv022!C:CC,79,0)</f>
        <v>0</v>
      </c>
      <c r="W19" s="107">
        <f>VLOOKUP(D19,[2]zmv022!C:CD,80,0)</f>
        <v>0</v>
      </c>
      <c r="X19" s="108"/>
      <c r="Y19" s="108"/>
      <c r="Z19" s="108"/>
      <c r="AA19" s="108">
        <f>VLOOKUP(D19,[2]zmv032!D:L,9,0)</f>
        <v>61</v>
      </c>
      <c r="AB19" s="109">
        <f t="shared" si="0"/>
        <v>14.633900000000001</v>
      </c>
      <c r="AC19" s="108"/>
      <c r="AD19" s="107">
        <f t="shared" si="1"/>
        <v>61</v>
      </c>
      <c r="AE19" s="109">
        <f t="shared" si="2"/>
        <v>14.633900000000001</v>
      </c>
      <c r="AF19" s="109">
        <f t="shared" si="3"/>
        <v>14.633900000000001</v>
      </c>
      <c r="AG19" s="108">
        <v>0</v>
      </c>
      <c r="AH19" s="110"/>
      <c r="AI19" s="111" t="str">
        <f>VLOOKUP(D19,[2]zmv032!D:K,8,0)</f>
        <v>1140</v>
      </c>
      <c r="AJ19" s="108">
        <f t="shared" si="4"/>
        <v>61</v>
      </c>
      <c r="AK19" s="108">
        <f t="shared" si="5"/>
        <v>61</v>
      </c>
      <c r="AL19" s="108" t="s">
        <v>74</v>
      </c>
      <c r="AM19" s="108">
        <f t="shared" si="6"/>
        <v>61</v>
      </c>
      <c r="AN19" s="109">
        <f t="shared" si="7"/>
        <v>14.633900000000001</v>
      </c>
      <c r="AO19" s="109">
        <f t="shared" si="8"/>
        <v>14.633900000000001</v>
      </c>
      <c r="AP19" s="88"/>
      <c r="AQ19" s="89"/>
      <c r="AR19" s="90"/>
      <c r="AS19" s="58"/>
      <c r="AT19" s="112"/>
      <c r="AU19" s="91"/>
    </row>
    <row r="20" spans="1:47" s="14" customFormat="1" ht="78" x14ac:dyDescent="0.5">
      <c r="A20" s="111" t="s">
        <v>195</v>
      </c>
      <c r="B20" s="59">
        <v>15</v>
      </c>
      <c r="C20" s="59" t="s">
        <v>101</v>
      </c>
      <c r="D20" s="103" t="s">
        <v>124</v>
      </c>
      <c r="E20" s="103" t="s">
        <v>125</v>
      </c>
      <c r="F20" s="80" t="s">
        <v>104</v>
      </c>
      <c r="G20" s="59" t="s">
        <v>126</v>
      </c>
      <c r="H20" s="59" t="s">
        <v>56</v>
      </c>
      <c r="I20" s="59" t="s">
        <v>127</v>
      </c>
      <c r="J20" s="59" t="s">
        <v>127</v>
      </c>
      <c r="K20" s="104" t="s">
        <v>128</v>
      </c>
      <c r="L20" s="59">
        <v>1E-3</v>
      </c>
      <c r="M20" s="59">
        <v>9.0909090909090909E-4</v>
      </c>
      <c r="N20" s="59">
        <v>119</v>
      </c>
      <c r="O20" s="59">
        <v>15000</v>
      </c>
      <c r="P20" s="104" t="s">
        <v>129</v>
      </c>
      <c r="Q20" s="105">
        <v>0</v>
      </c>
      <c r="R20" s="113"/>
      <c r="S20" s="113"/>
      <c r="T20" s="107">
        <f>VLOOKUP(D20,[2]zmv022!C:AC,27,0)</f>
        <v>14981</v>
      </c>
      <c r="U20" s="107">
        <f>VLOOKUP(D20,[2]zmv022!C:CB,78,0)</f>
        <v>0</v>
      </c>
      <c r="V20" s="107">
        <f>VLOOKUP(D20,[2]zmv022!C:CC,79,0)</f>
        <v>0</v>
      </c>
      <c r="W20" s="107">
        <f>VLOOKUP(D20,[2]zmv022!C:CD,80,0)</f>
        <v>0</v>
      </c>
      <c r="X20" s="108"/>
      <c r="Y20" s="108"/>
      <c r="Z20" s="108"/>
      <c r="AA20" s="108">
        <f>VLOOKUP(D20,[2]zmv032!D:L,9,0)</f>
        <v>14981</v>
      </c>
      <c r="AB20" s="109">
        <f t="shared" si="0"/>
        <v>14.981</v>
      </c>
      <c r="AC20" s="108"/>
      <c r="AD20" s="107">
        <f t="shared" si="1"/>
        <v>14981</v>
      </c>
      <c r="AE20" s="109">
        <f t="shared" si="2"/>
        <v>13.619090909090909</v>
      </c>
      <c r="AF20" s="109">
        <f t="shared" si="3"/>
        <v>14.981</v>
      </c>
      <c r="AG20" s="108">
        <v>0</v>
      </c>
      <c r="AH20" s="109">
        <f>AG20*M20</f>
        <v>0</v>
      </c>
      <c r="AI20" s="111" t="str">
        <f>VLOOKUP(D20,[2]zmv032!D:K,8,0)</f>
        <v>1210</v>
      </c>
      <c r="AJ20" s="108">
        <f t="shared" si="4"/>
        <v>14981</v>
      </c>
      <c r="AK20" s="108">
        <f t="shared" si="5"/>
        <v>14981</v>
      </c>
      <c r="AL20" s="108" t="s">
        <v>60</v>
      </c>
      <c r="AM20" s="108">
        <f t="shared" si="6"/>
        <v>14981</v>
      </c>
      <c r="AN20" s="109">
        <f t="shared" si="7"/>
        <v>13.619090909090909</v>
      </c>
      <c r="AO20" s="109">
        <f t="shared" si="8"/>
        <v>14.981</v>
      </c>
      <c r="AP20" s="88"/>
      <c r="AQ20" s="89"/>
      <c r="AR20" s="90"/>
      <c r="AS20" s="58"/>
      <c r="AT20" s="112" t="s">
        <v>110</v>
      </c>
      <c r="AU20" s="91"/>
    </row>
    <row r="21" spans="1:47" ht="117" x14ac:dyDescent="0.5">
      <c r="A21" s="111" t="s">
        <v>196</v>
      </c>
      <c r="B21" s="59">
        <v>16</v>
      </c>
      <c r="C21" s="59" t="s">
        <v>101</v>
      </c>
      <c r="D21" s="103" t="s">
        <v>130</v>
      </c>
      <c r="E21" s="103" t="s">
        <v>112</v>
      </c>
      <c r="F21" s="80" t="s">
        <v>113</v>
      </c>
      <c r="G21" s="59" t="s">
        <v>114</v>
      </c>
      <c r="H21" s="59" t="s">
        <v>56</v>
      </c>
      <c r="I21" s="59" t="s">
        <v>106</v>
      </c>
      <c r="J21" s="59" t="s">
        <v>115</v>
      </c>
      <c r="K21" s="104" t="s">
        <v>116</v>
      </c>
      <c r="L21" s="59">
        <v>0.18130000000000002</v>
      </c>
      <c r="M21" s="59">
        <v>0.18130000000000002</v>
      </c>
      <c r="N21" s="59">
        <v>14</v>
      </c>
      <c r="O21" s="59">
        <v>288</v>
      </c>
      <c r="P21" s="104" t="s">
        <v>117</v>
      </c>
      <c r="Q21" s="105">
        <v>0</v>
      </c>
      <c r="R21" s="106"/>
      <c r="S21" s="106"/>
      <c r="T21" s="107">
        <f>VLOOKUP(D21,[2]zmv022!C:AC,27,0)</f>
        <v>67</v>
      </c>
      <c r="U21" s="107">
        <f>VLOOKUP(D21,[2]zmv022!C:CB,78,0)</f>
        <v>0</v>
      </c>
      <c r="V21" s="107">
        <f>VLOOKUP(D21,[2]zmv022!C:CC,79,0)</f>
        <v>0</v>
      </c>
      <c r="W21" s="107">
        <f>VLOOKUP(D21,[2]zmv022!C:CD,80,0)</f>
        <v>0</v>
      </c>
      <c r="X21" s="108"/>
      <c r="Y21" s="108"/>
      <c r="Z21" s="108"/>
      <c r="AA21" s="108">
        <f>VLOOKUP(D21,[2]zmv032!D:L,9,0)</f>
        <v>67</v>
      </c>
      <c r="AB21" s="109">
        <f t="shared" si="0"/>
        <v>12.147100000000002</v>
      </c>
      <c r="AC21" s="108"/>
      <c r="AD21" s="107">
        <f t="shared" si="1"/>
        <v>67</v>
      </c>
      <c r="AE21" s="109">
        <f t="shared" si="2"/>
        <v>12.147100000000002</v>
      </c>
      <c r="AF21" s="109">
        <f t="shared" si="3"/>
        <v>12.147100000000002</v>
      </c>
      <c r="AG21" s="108">
        <v>0</v>
      </c>
      <c r="AH21" s="110"/>
      <c r="AI21" s="111" t="str">
        <f>VLOOKUP(D21,[2]zmv032!D:K,8,0)</f>
        <v>1112</v>
      </c>
      <c r="AJ21" s="108">
        <f t="shared" si="4"/>
        <v>67</v>
      </c>
      <c r="AK21" s="108">
        <f t="shared" si="5"/>
        <v>67</v>
      </c>
      <c r="AL21" s="108" t="s">
        <v>74</v>
      </c>
      <c r="AM21" s="108">
        <f t="shared" si="6"/>
        <v>67</v>
      </c>
      <c r="AN21" s="109">
        <f t="shared" si="7"/>
        <v>12.147100000000002</v>
      </c>
      <c r="AO21" s="109">
        <f t="shared" si="8"/>
        <v>12.147100000000002</v>
      </c>
      <c r="AP21" s="88"/>
      <c r="AQ21" s="89"/>
      <c r="AR21" s="90"/>
      <c r="AS21" s="58"/>
      <c r="AT21" s="114"/>
    </row>
    <row r="22" spans="1:47" ht="117" x14ac:dyDescent="0.5">
      <c r="A22" s="111" t="s">
        <v>197</v>
      </c>
      <c r="B22" s="59">
        <v>17</v>
      </c>
      <c r="C22" s="59" t="s">
        <v>101</v>
      </c>
      <c r="D22" s="103" t="s">
        <v>131</v>
      </c>
      <c r="E22" s="103" t="s">
        <v>119</v>
      </c>
      <c r="F22" s="80" t="s">
        <v>104</v>
      </c>
      <c r="G22" s="59" t="s">
        <v>132</v>
      </c>
      <c r="H22" s="59" t="s">
        <v>56</v>
      </c>
      <c r="I22" s="59" t="s">
        <v>121</v>
      </c>
      <c r="J22" s="59" t="s">
        <v>121</v>
      </c>
      <c r="K22" s="104" t="s">
        <v>133</v>
      </c>
      <c r="L22" s="59">
        <v>0.35880000000000001</v>
      </c>
      <c r="M22" s="59">
        <v>0.35880000000000001</v>
      </c>
      <c r="N22" s="59">
        <v>14</v>
      </c>
      <c r="O22" s="59">
        <v>100</v>
      </c>
      <c r="P22" s="104" t="s">
        <v>134</v>
      </c>
      <c r="Q22" s="105">
        <v>0</v>
      </c>
      <c r="R22" s="106"/>
      <c r="S22" s="106"/>
      <c r="T22" s="107">
        <f>VLOOKUP(D22,[2]zmv022!C:AC,27,0)</f>
        <v>18</v>
      </c>
      <c r="U22" s="107">
        <f>VLOOKUP(D22,[2]zmv022!C:CB,78,0)</f>
        <v>80</v>
      </c>
      <c r="V22" s="107">
        <f>VLOOKUP(D22,[2]zmv022!C:CC,79,0)</f>
        <v>0</v>
      </c>
      <c r="W22" s="107">
        <f>VLOOKUP(D22,[2]zmv022!C:CD,80,0)</f>
        <v>0</v>
      </c>
      <c r="X22" s="108"/>
      <c r="Y22" s="108"/>
      <c r="Z22" s="108"/>
      <c r="AA22" s="108">
        <f>VLOOKUP(D22,[2]zmv032!D:L,9,0)</f>
        <v>18</v>
      </c>
      <c r="AB22" s="109">
        <f t="shared" si="0"/>
        <v>6.4584000000000001</v>
      </c>
      <c r="AC22" s="108"/>
      <c r="AD22" s="107">
        <f t="shared" si="1"/>
        <v>18</v>
      </c>
      <c r="AE22" s="109">
        <f t="shared" si="2"/>
        <v>6.4584000000000001</v>
      </c>
      <c r="AF22" s="109">
        <f t="shared" si="3"/>
        <v>6.4584000000000001</v>
      </c>
      <c r="AG22" s="108">
        <v>0</v>
      </c>
      <c r="AH22" s="110"/>
      <c r="AI22" s="111" t="str">
        <f>VLOOKUP(D22,[2]zmv032!D:K,8,0)</f>
        <v>1140</v>
      </c>
      <c r="AJ22" s="108">
        <f t="shared" si="4"/>
        <v>18</v>
      </c>
      <c r="AK22" s="108">
        <f t="shared" si="5"/>
        <v>18</v>
      </c>
      <c r="AL22" s="108" t="s">
        <v>74</v>
      </c>
      <c r="AM22" s="108">
        <f t="shared" si="6"/>
        <v>18</v>
      </c>
      <c r="AN22" s="109">
        <f t="shared" si="7"/>
        <v>6.4584000000000001</v>
      </c>
      <c r="AO22" s="109">
        <f t="shared" si="8"/>
        <v>6.4584000000000001</v>
      </c>
      <c r="AP22" s="88"/>
      <c r="AQ22" s="89"/>
      <c r="AR22" s="90"/>
      <c r="AS22" s="58"/>
      <c r="AT22" s="114"/>
    </row>
    <row r="23" spans="1:47" ht="117" x14ac:dyDescent="0.5">
      <c r="A23" s="111">
        <v>1140</v>
      </c>
      <c r="B23" s="59">
        <v>18</v>
      </c>
      <c r="C23" s="59" t="s">
        <v>101</v>
      </c>
      <c r="D23" s="103" t="s">
        <v>135</v>
      </c>
      <c r="E23" s="103" t="s">
        <v>119</v>
      </c>
      <c r="F23" s="80" t="s">
        <v>104</v>
      </c>
      <c r="G23" s="59" t="s">
        <v>132</v>
      </c>
      <c r="H23" s="59" t="s">
        <v>56</v>
      </c>
      <c r="I23" s="59" t="s">
        <v>121</v>
      </c>
      <c r="J23" s="59" t="s">
        <v>121</v>
      </c>
      <c r="K23" s="104" t="s">
        <v>133</v>
      </c>
      <c r="L23" s="59">
        <v>0.34702999999999995</v>
      </c>
      <c r="M23" s="59">
        <v>0.34702999999999995</v>
      </c>
      <c r="N23" s="59">
        <v>14</v>
      </c>
      <c r="O23" s="59">
        <v>40</v>
      </c>
      <c r="P23" s="104" t="s">
        <v>136</v>
      </c>
      <c r="Q23" s="105">
        <v>0</v>
      </c>
      <c r="R23" s="106"/>
      <c r="S23" s="106"/>
      <c r="T23" s="107">
        <f>VLOOKUP(D23,[2]zmv022!C:AC,27,0)</f>
        <v>4</v>
      </c>
      <c r="U23" s="107">
        <f>VLOOKUP(D23,[2]zmv022!C:CB,78,0)</f>
        <v>0</v>
      </c>
      <c r="V23" s="107">
        <f>VLOOKUP(D23,[2]zmv022!C:CC,79,0)</f>
        <v>0</v>
      </c>
      <c r="W23" s="107">
        <f>VLOOKUP(D23,[2]zmv022!C:CD,80,0)</f>
        <v>0</v>
      </c>
      <c r="X23" s="108"/>
      <c r="Y23" s="108"/>
      <c r="Z23" s="108"/>
      <c r="AA23" s="108">
        <f>VLOOKUP(D23,[2]zmv032!D:L,9,0)</f>
        <v>4</v>
      </c>
      <c r="AB23" s="109">
        <f t="shared" si="0"/>
        <v>1.3881199999999998</v>
      </c>
      <c r="AC23" s="108"/>
      <c r="AD23" s="107">
        <f t="shared" si="1"/>
        <v>4</v>
      </c>
      <c r="AE23" s="109">
        <f t="shared" si="2"/>
        <v>1.3881199999999998</v>
      </c>
      <c r="AF23" s="109">
        <f t="shared" si="3"/>
        <v>1.3881199999999998</v>
      </c>
      <c r="AG23" s="108">
        <v>0</v>
      </c>
      <c r="AH23" s="110"/>
      <c r="AI23" s="111" t="str">
        <f>VLOOKUP(D23,[2]zmv032!D:K,8,0)</f>
        <v>1140</v>
      </c>
      <c r="AJ23" s="108">
        <f t="shared" si="4"/>
        <v>4</v>
      </c>
      <c r="AK23" s="108">
        <f t="shared" si="5"/>
        <v>4</v>
      </c>
      <c r="AL23" s="108" t="s">
        <v>74</v>
      </c>
      <c r="AM23" s="108">
        <f t="shared" si="6"/>
        <v>4</v>
      </c>
      <c r="AN23" s="109">
        <f t="shared" si="7"/>
        <v>1.3881199999999998</v>
      </c>
      <c r="AO23" s="109">
        <f t="shared" si="8"/>
        <v>1.3881199999999998</v>
      </c>
      <c r="AP23" s="88"/>
      <c r="AQ23" s="89"/>
      <c r="AR23" s="90"/>
      <c r="AS23" s="58"/>
      <c r="AT23" s="114"/>
    </row>
    <row r="24" spans="1:47" ht="117" x14ac:dyDescent="0.5">
      <c r="A24" s="111" t="s">
        <v>197</v>
      </c>
      <c r="B24" s="59">
        <v>19</v>
      </c>
      <c r="C24" s="59" t="s">
        <v>101</v>
      </c>
      <c r="D24" s="103" t="s">
        <v>137</v>
      </c>
      <c r="E24" s="103" t="s">
        <v>119</v>
      </c>
      <c r="F24" s="80" t="s">
        <v>104</v>
      </c>
      <c r="G24" s="59" t="s">
        <v>120</v>
      </c>
      <c r="H24" s="59" t="s">
        <v>56</v>
      </c>
      <c r="I24" s="59" t="s">
        <v>121</v>
      </c>
      <c r="J24" s="59" t="s">
        <v>121</v>
      </c>
      <c r="K24" s="104" t="s">
        <v>122</v>
      </c>
      <c r="L24" s="59">
        <v>0.105</v>
      </c>
      <c r="M24" s="59">
        <v>0.105</v>
      </c>
      <c r="N24" s="59">
        <v>14</v>
      </c>
      <c r="O24" s="59">
        <v>1500</v>
      </c>
      <c r="P24" s="104" t="s">
        <v>138</v>
      </c>
      <c r="Q24" s="105">
        <v>0</v>
      </c>
      <c r="R24" s="106"/>
      <c r="S24" s="106"/>
      <c r="T24" s="107">
        <f>VLOOKUP(D24,[2]zmv022!C:AC,27,0)</f>
        <v>6</v>
      </c>
      <c r="U24" s="107">
        <f>VLOOKUP(D24,[2]zmv022!C:CB,78,0)</f>
        <v>0</v>
      </c>
      <c r="V24" s="107">
        <f>VLOOKUP(D24,[2]zmv022!C:CC,79,0)</f>
        <v>0</v>
      </c>
      <c r="W24" s="107">
        <f>VLOOKUP(D24,[2]zmv022!C:CD,80,0)</f>
        <v>0</v>
      </c>
      <c r="X24" s="108"/>
      <c r="Y24" s="108"/>
      <c r="Z24" s="108"/>
      <c r="AA24" s="108">
        <f>VLOOKUP(D24,[2]zmv032!D:L,9,0)</f>
        <v>6</v>
      </c>
      <c r="AB24" s="109">
        <f t="shared" si="0"/>
        <v>0.63</v>
      </c>
      <c r="AC24" s="108"/>
      <c r="AD24" s="107">
        <f t="shared" si="1"/>
        <v>6</v>
      </c>
      <c r="AE24" s="109">
        <f t="shared" si="2"/>
        <v>0.63</v>
      </c>
      <c r="AF24" s="109">
        <f t="shared" si="3"/>
        <v>0.63</v>
      </c>
      <c r="AG24" s="108">
        <v>0</v>
      </c>
      <c r="AH24" s="110"/>
      <c r="AI24" s="111" t="str">
        <f>VLOOKUP(D24,[2]zmv032!D:K,8,0)</f>
        <v>1140</v>
      </c>
      <c r="AJ24" s="108">
        <f t="shared" si="4"/>
        <v>6</v>
      </c>
      <c r="AK24" s="108">
        <f t="shared" si="5"/>
        <v>6</v>
      </c>
      <c r="AL24" s="108" t="s">
        <v>74</v>
      </c>
      <c r="AM24" s="108">
        <f t="shared" si="6"/>
        <v>6</v>
      </c>
      <c r="AN24" s="109">
        <f t="shared" si="7"/>
        <v>0.63</v>
      </c>
      <c r="AO24" s="109">
        <f t="shared" si="8"/>
        <v>0.63</v>
      </c>
      <c r="AP24" s="88"/>
      <c r="AQ24" s="89"/>
      <c r="AR24" s="90"/>
      <c r="AS24" s="58"/>
      <c r="AT24" s="114"/>
    </row>
    <row r="25" spans="1:47" ht="117" x14ac:dyDescent="0.5">
      <c r="A25" s="111" t="s">
        <v>195</v>
      </c>
      <c r="B25" s="59">
        <v>20</v>
      </c>
      <c r="C25" s="59" t="s">
        <v>101</v>
      </c>
      <c r="D25" s="103" t="s">
        <v>139</v>
      </c>
      <c r="E25" s="103" t="s">
        <v>86</v>
      </c>
      <c r="F25" s="80" t="s">
        <v>104</v>
      </c>
      <c r="G25" s="59" t="s">
        <v>93</v>
      </c>
      <c r="H25" s="59" t="s">
        <v>56</v>
      </c>
      <c r="I25" s="59" t="s">
        <v>106</v>
      </c>
      <c r="J25" s="59" t="s">
        <v>140</v>
      </c>
      <c r="K25" s="104" t="s">
        <v>94</v>
      </c>
      <c r="L25" s="59">
        <v>2.6000000000000003E-4</v>
      </c>
      <c r="M25" s="59">
        <v>2.6000000000000003E-4</v>
      </c>
      <c r="N25" s="59">
        <v>81</v>
      </c>
      <c r="O25" s="59">
        <v>10000</v>
      </c>
      <c r="P25" s="104" t="s">
        <v>141</v>
      </c>
      <c r="Q25" s="105">
        <v>0</v>
      </c>
      <c r="R25" s="113"/>
      <c r="S25" s="113"/>
      <c r="T25" s="107">
        <f>VLOOKUP(D25,[2]zmv022!C:AC,27,0)</f>
        <v>355</v>
      </c>
      <c r="U25" s="107">
        <f>VLOOKUP(D25,[2]zmv022!C:CB,78,0)</f>
        <v>0</v>
      </c>
      <c r="V25" s="107">
        <f>VLOOKUP(D25,[2]zmv022!C:CC,79,0)</f>
        <v>0</v>
      </c>
      <c r="W25" s="107">
        <f>VLOOKUP(D25,[2]zmv022!C:CD,80,0)</f>
        <v>0</v>
      </c>
      <c r="X25" s="108"/>
      <c r="Y25" s="108"/>
      <c r="Z25" s="108"/>
      <c r="AA25" s="108">
        <f>VLOOKUP(D25,[2]zmv032!D:L,9,0)</f>
        <v>355</v>
      </c>
      <c r="AB25" s="109">
        <f t="shared" si="0"/>
        <v>9.2300000000000007E-2</v>
      </c>
      <c r="AC25" s="108"/>
      <c r="AD25" s="107">
        <f t="shared" si="1"/>
        <v>355</v>
      </c>
      <c r="AE25" s="109">
        <f t="shared" si="2"/>
        <v>9.2300000000000007E-2</v>
      </c>
      <c r="AF25" s="109">
        <f t="shared" si="3"/>
        <v>9.2300000000000007E-2</v>
      </c>
      <c r="AG25" s="108">
        <v>0</v>
      </c>
      <c r="AH25" s="109">
        <f>AG25*M25</f>
        <v>0</v>
      </c>
      <c r="AI25" s="111" t="str">
        <f>VLOOKUP(D25,[2]zmv032!D:K,8,0)</f>
        <v>1210</v>
      </c>
      <c r="AJ25" s="108">
        <f t="shared" si="4"/>
        <v>355</v>
      </c>
      <c r="AK25" s="108">
        <f t="shared" si="5"/>
        <v>355</v>
      </c>
      <c r="AL25" s="108" t="s">
        <v>60</v>
      </c>
      <c r="AM25" s="108">
        <f t="shared" si="6"/>
        <v>355</v>
      </c>
      <c r="AN25" s="109">
        <f t="shared" si="7"/>
        <v>9.2300000000000007E-2</v>
      </c>
      <c r="AO25" s="109">
        <f t="shared" si="8"/>
        <v>9.2300000000000007E-2</v>
      </c>
      <c r="AP25" s="88"/>
      <c r="AQ25" s="89"/>
      <c r="AR25" s="90"/>
      <c r="AS25" s="58"/>
      <c r="AT25" s="114"/>
    </row>
    <row r="26" spans="1:47" ht="117" x14ac:dyDescent="0.5">
      <c r="A26" s="111" t="s">
        <v>195</v>
      </c>
      <c r="B26" s="59">
        <v>21</v>
      </c>
      <c r="C26" s="59" t="s">
        <v>101</v>
      </c>
      <c r="D26" s="103" t="s">
        <v>142</v>
      </c>
      <c r="E26" s="103" t="s">
        <v>86</v>
      </c>
      <c r="F26" s="80" t="s">
        <v>104</v>
      </c>
      <c r="G26" s="59" t="s">
        <v>55</v>
      </c>
      <c r="H26" s="59" t="s">
        <v>56</v>
      </c>
      <c r="I26" s="59" t="s">
        <v>143</v>
      </c>
      <c r="J26" s="59" t="s">
        <v>143</v>
      </c>
      <c r="K26" s="104" t="s">
        <v>58</v>
      </c>
      <c r="L26" s="59">
        <v>2.3000000000000001E-4</v>
      </c>
      <c r="M26" s="59">
        <v>2.3000000000000001E-4</v>
      </c>
      <c r="N26" s="59">
        <v>87</v>
      </c>
      <c r="O26" s="59">
        <v>50000</v>
      </c>
      <c r="P26" s="104" t="s">
        <v>84</v>
      </c>
      <c r="Q26" s="115">
        <v>0</v>
      </c>
      <c r="R26" s="92"/>
      <c r="S26" s="92"/>
      <c r="T26" s="107">
        <f>VLOOKUP(D26,[2]zmv022!C:AC,27,0)</f>
        <v>380</v>
      </c>
      <c r="U26" s="107">
        <f>VLOOKUP(D26,[2]zmv022!C:CB,78,0)</f>
        <v>0</v>
      </c>
      <c r="V26" s="107">
        <f>VLOOKUP(D26,[2]zmv022!C:CC,79,0)</f>
        <v>0</v>
      </c>
      <c r="W26" s="107">
        <f>VLOOKUP(D26,[2]zmv022!C:CD,80,0)</f>
        <v>0</v>
      </c>
      <c r="X26" s="107"/>
      <c r="Y26" s="107"/>
      <c r="Z26" s="107"/>
      <c r="AA26" s="107">
        <f>VLOOKUP(D26,[2]zmv032!D:L,9,0)</f>
        <v>380</v>
      </c>
      <c r="AB26" s="116">
        <f t="shared" si="0"/>
        <v>8.7400000000000005E-2</v>
      </c>
      <c r="AC26" s="107"/>
      <c r="AD26" s="107">
        <f t="shared" si="1"/>
        <v>380</v>
      </c>
      <c r="AE26" s="116">
        <f t="shared" si="2"/>
        <v>8.7400000000000005E-2</v>
      </c>
      <c r="AF26" s="116">
        <f t="shared" si="3"/>
        <v>8.7400000000000005E-2</v>
      </c>
      <c r="AG26" s="107">
        <v>0</v>
      </c>
      <c r="AH26" s="116">
        <f>AG26*M26</f>
        <v>0</v>
      </c>
      <c r="AI26" s="111" t="str">
        <f>VLOOKUP(D26,[2]zmv032!D:K,8,0)</f>
        <v>1210</v>
      </c>
      <c r="AJ26" s="107">
        <f t="shared" si="4"/>
        <v>380</v>
      </c>
      <c r="AK26" s="107">
        <f t="shared" si="5"/>
        <v>380</v>
      </c>
      <c r="AL26" s="107" t="s">
        <v>60</v>
      </c>
      <c r="AM26" s="107">
        <f t="shared" si="6"/>
        <v>380</v>
      </c>
      <c r="AN26" s="116">
        <f t="shared" si="7"/>
        <v>8.7400000000000005E-2</v>
      </c>
      <c r="AO26" s="116">
        <f t="shared" si="8"/>
        <v>8.7400000000000005E-2</v>
      </c>
      <c r="AP26" s="88"/>
      <c r="AQ26" s="89"/>
      <c r="AR26" s="90"/>
      <c r="AS26" s="58"/>
      <c r="AT26" s="114" t="s">
        <v>144</v>
      </c>
    </row>
    <row r="27" spans="1:47" ht="156" x14ac:dyDescent="0.5">
      <c r="A27" s="111">
        <v>1120</v>
      </c>
      <c r="B27" s="59">
        <v>22</v>
      </c>
      <c r="C27" s="59" t="s">
        <v>101</v>
      </c>
      <c r="D27" s="103" t="s">
        <v>145</v>
      </c>
      <c r="E27" s="103" t="s">
        <v>146</v>
      </c>
      <c r="F27" s="80" t="s">
        <v>104</v>
      </c>
      <c r="G27" s="59" t="s">
        <v>147</v>
      </c>
      <c r="H27" s="59" t="s">
        <v>56</v>
      </c>
      <c r="I27" s="59" t="s">
        <v>140</v>
      </c>
      <c r="J27" s="59" t="s">
        <v>140</v>
      </c>
      <c r="K27" s="104" t="s">
        <v>148</v>
      </c>
      <c r="L27" s="59">
        <v>8.8999999999999999E-3</v>
      </c>
      <c r="M27" s="59">
        <v>8.8999999999999999E-3</v>
      </c>
      <c r="N27" s="59">
        <v>51</v>
      </c>
      <c r="O27" s="59">
        <v>1000</v>
      </c>
      <c r="P27" s="104" t="s">
        <v>149</v>
      </c>
      <c r="Q27" s="105">
        <v>0</v>
      </c>
      <c r="R27" s="106"/>
      <c r="S27" s="106"/>
      <c r="T27" s="107">
        <f>VLOOKUP(D27,[2]zmv022!C:AC,27,0)</f>
        <v>3</v>
      </c>
      <c r="U27" s="107">
        <f>VLOOKUP(D27,[2]zmv022!C:CB,78,0)</f>
        <v>0</v>
      </c>
      <c r="V27" s="107">
        <f>VLOOKUP(D27,[2]zmv022!C:CC,79,0)</f>
        <v>0</v>
      </c>
      <c r="W27" s="107">
        <f>VLOOKUP(D27,[2]zmv022!C:CD,80,0)</f>
        <v>0</v>
      </c>
      <c r="X27" s="108"/>
      <c r="Y27" s="108"/>
      <c r="Z27" s="108"/>
      <c r="AA27" s="108">
        <f>VLOOKUP(D27,[2]zmv032!D:L,9,0)</f>
        <v>3</v>
      </c>
      <c r="AB27" s="109">
        <f t="shared" si="0"/>
        <v>2.6700000000000002E-2</v>
      </c>
      <c r="AC27" s="108"/>
      <c r="AD27" s="107">
        <f t="shared" si="1"/>
        <v>3</v>
      </c>
      <c r="AE27" s="109">
        <f t="shared" si="2"/>
        <v>2.6700000000000002E-2</v>
      </c>
      <c r="AF27" s="109">
        <f t="shared" si="3"/>
        <v>2.6700000000000002E-2</v>
      </c>
      <c r="AG27" s="108">
        <v>0</v>
      </c>
      <c r="AH27" s="110"/>
      <c r="AI27" s="111" t="str">
        <f>VLOOKUP(D27,[2]zmv032!D:K,8,0)</f>
        <v>1120</v>
      </c>
      <c r="AJ27" s="108">
        <f t="shared" si="4"/>
        <v>3</v>
      </c>
      <c r="AK27" s="108">
        <f t="shared" si="5"/>
        <v>3</v>
      </c>
      <c r="AL27" s="108" t="s">
        <v>60</v>
      </c>
      <c r="AM27" s="108">
        <f t="shared" si="6"/>
        <v>3</v>
      </c>
      <c r="AN27" s="109">
        <f t="shared" si="7"/>
        <v>2.6700000000000002E-2</v>
      </c>
      <c r="AO27" s="109">
        <f t="shared" si="8"/>
        <v>2.6700000000000002E-2</v>
      </c>
      <c r="AP27" s="88"/>
      <c r="AQ27" s="89"/>
      <c r="AR27" s="90"/>
      <c r="AS27" s="58"/>
      <c r="AT27" s="114"/>
    </row>
    <row r="28" spans="1:47" s="14" customFormat="1" ht="87" customHeight="1" x14ac:dyDescent="0.5">
      <c r="A28" s="128">
        <v>8170</v>
      </c>
      <c r="B28" s="59">
        <v>23</v>
      </c>
      <c r="C28" s="117" t="s">
        <v>150</v>
      </c>
      <c r="D28" s="118" t="s">
        <v>151</v>
      </c>
      <c r="E28" s="119" t="s">
        <v>152</v>
      </c>
      <c r="F28" s="119" t="s">
        <v>153</v>
      </c>
      <c r="G28" s="118" t="s">
        <v>154</v>
      </c>
      <c r="H28" s="118" t="s">
        <v>56</v>
      </c>
      <c r="I28" s="118" t="s">
        <v>155</v>
      </c>
      <c r="J28" s="118" t="s">
        <v>156</v>
      </c>
      <c r="K28" s="119" t="s">
        <v>157</v>
      </c>
      <c r="L28" s="120">
        <v>0.1231</v>
      </c>
      <c r="M28" s="120">
        <v>0.1222</v>
      </c>
      <c r="N28" s="118">
        <v>208</v>
      </c>
      <c r="O28" s="121">
        <v>6000</v>
      </c>
      <c r="P28" s="79" t="s">
        <v>158</v>
      </c>
      <c r="Q28" s="121"/>
      <c r="R28" s="122"/>
      <c r="S28" s="122"/>
      <c r="T28" s="123">
        <v>21</v>
      </c>
      <c r="U28" s="123">
        <v>0</v>
      </c>
      <c r="V28" s="123">
        <v>0</v>
      </c>
      <c r="W28" s="123">
        <v>0</v>
      </c>
      <c r="X28" s="121"/>
      <c r="Y28" s="121"/>
      <c r="Z28" s="121"/>
      <c r="AA28" s="125">
        <f>T28</f>
        <v>21</v>
      </c>
      <c r="AB28" s="126">
        <f t="shared" si="0"/>
        <v>2.5851000000000002</v>
      </c>
      <c r="AC28" s="125"/>
      <c r="AD28" s="127">
        <f>AA28</f>
        <v>21</v>
      </c>
      <c r="AE28" s="126">
        <f t="shared" si="2"/>
        <v>2.5662000000000003</v>
      </c>
      <c r="AF28" s="126">
        <f t="shared" si="3"/>
        <v>2.5851000000000002</v>
      </c>
      <c r="AG28" s="125"/>
      <c r="AH28" s="126"/>
      <c r="AI28" s="128" t="s">
        <v>159</v>
      </c>
      <c r="AJ28" s="125">
        <f t="shared" si="4"/>
        <v>21</v>
      </c>
      <c r="AK28" s="125">
        <f t="shared" si="5"/>
        <v>21</v>
      </c>
      <c r="AL28" s="125" t="s">
        <v>74</v>
      </c>
      <c r="AM28" s="125">
        <f t="shared" si="6"/>
        <v>21</v>
      </c>
      <c r="AN28" s="126">
        <f t="shared" si="7"/>
        <v>2.5662000000000003</v>
      </c>
      <c r="AO28" s="126">
        <f t="shared" si="8"/>
        <v>2.5851000000000002</v>
      </c>
      <c r="AP28" s="88"/>
      <c r="AQ28" s="89"/>
      <c r="AR28" s="90"/>
      <c r="AS28" s="58"/>
      <c r="AT28" s="91"/>
    </row>
    <row r="29" spans="1:47" s="14" customFormat="1" ht="87" customHeight="1" x14ac:dyDescent="0.5">
      <c r="A29" s="128" t="s">
        <v>162</v>
      </c>
      <c r="B29" s="59">
        <v>24</v>
      </c>
      <c r="C29" s="117" t="s">
        <v>150</v>
      </c>
      <c r="D29" s="118" t="s">
        <v>160</v>
      </c>
      <c r="E29" s="119" t="s">
        <v>86</v>
      </c>
      <c r="F29" s="119" t="s">
        <v>153</v>
      </c>
      <c r="G29" s="118" t="s">
        <v>80</v>
      </c>
      <c r="H29" s="118" t="s">
        <v>56</v>
      </c>
      <c r="I29" s="118" t="s">
        <v>161</v>
      </c>
      <c r="J29" s="118" t="s">
        <v>161</v>
      </c>
      <c r="K29" s="119" t="s">
        <v>83</v>
      </c>
      <c r="L29" s="120">
        <v>8.0000000000000004E-4</v>
      </c>
      <c r="M29" s="120">
        <v>7.2727272727272734E-4</v>
      </c>
      <c r="N29" s="118">
        <v>134</v>
      </c>
      <c r="O29" s="121">
        <v>30000</v>
      </c>
      <c r="P29" s="79" t="s">
        <v>158</v>
      </c>
      <c r="Q29" s="121"/>
      <c r="R29" s="122"/>
      <c r="S29" s="122"/>
      <c r="T29" s="123">
        <v>506</v>
      </c>
      <c r="U29" s="123">
        <v>0</v>
      </c>
      <c r="V29" s="123">
        <v>0</v>
      </c>
      <c r="W29" s="123">
        <v>0</v>
      </c>
      <c r="X29" s="121"/>
      <c r="Y29" s="121"/>
      <c r="Z29" s="121"/>
      <c r="AA29" s="125">
        <f t="shared" ref="AA29:AA42" si="9">T29</f>
        <v>506</v>
      </c>
      <c r="AB29" s="126">
        <f t="shared" si="0"/>
        <v>0.40479999999999999</v>
      </c>
      <c r="AC29" s="125"/>
      <c r="AD29" s="127">
        <f t="shared" ref="AD29:AD42" si="10">AA29</f>
        <v>506</v>
      </c>
      <c r="AE29" s="126">
        <f t="shared" si="2"/>
        <v>0.36800000000000005</v>
      </c>
      <c r="AF29" s="126">
        <f t="shared" si="3"/>
        <v>0.40479999999999999</v>
      </c>
      <c r="AG29" s="125"/>
      <c r="AH29" s="126"/>
      <c r="AI29" s="128" t="s">
        <v>162</v>
      </c>
      <c r="AJ29" s="125">
        <f t="shared" si="4"/>
        <v>506</v>
      </c>
      <c r="AK29" s="125">
        <f t="shared" si="5"/>
        <v>506</v>
      </c>
      <c r="AL29" s="125" t="s">
        <v>60</v>
      </c>
      <c r="AM29" s="125">
        <f t="shared" si="6"/>
        <v>506</v>
      </c>
      <c r="AN29" s="126">
        <f t="shared" si="7"/>
        <v>0.36800000000000005</v>
      </c>
      <c r="AO29" s="126">
        <f t="shared" si="8"/>
        <v>0.40479999999999999</v>
      </c>
      <c r="AP29" s="88"/>
      <c r="AQ29" s="89"/>
      <c r="AR29" s="90"/>
      <c r="AS29" s="58"/>
      <c r="AT29" s="91"/>
    </row>
    <row r="30" spans="1:47" s="14" customFormat="1" ht="87" customHeight="1" x14ac:dyDescent="0.5">
      <c r="A30" s="128">
        <v>8210</v>
      </c>
      <c r="B30" s="59">
        <v>25</v>
      </c>
      <c r="C30" s="117" t="s">
        <v>150</v>
      </c>
      <c r="D30" s="118" t="s">
        <v>163</v>
      </c>
      <c r="E30" s="119" t="s">
        <v>86</v>
      </c>
      <c r="F30" s="119" t="s">
        <v>153</v>
      </c>
      <c r="G30" s="118" t="s">
        <v>164</v>
      </c>
      <c r="H30" s="118" t="s">
        <v>56</v>
      </c>
      <c r="I30" s="118" t="s">
        <v>155</v>
      </c>
      <c r="J30" s="118" t="s">
        <v>165</v>
      </c>
      <c r="K30" s="119" t="s">
        <v>166</v>
      </c>
      <c r="L30" s="120">
        <v>7.5000000000000002E-4</v>
      </c>
      <c r="M30" s="120">
        <v>7.5000000000000002E-4</v>
      </c>
      <c r="N30" s="118">
        <v>84</v>
      </c>
      <c r="O30" s="121">
        <v>5000</v>
      </c>
      <c r="P30" s="79" t="s">
        <v>158</v>
      </c>
      <c r="Q30" s="121"/>
      <c r="R30" s="122"/>
      <c r="S30" s="122"/>
      <c r="T30" s="123">
        <v>117</v>
      </c>
      <c r="U30" s="123">
        <v>0</v>
      </c>
      <c r="V30" s="123">
        <v>0</v>
      </c>
      <c r="W30" s="123">
        <v>0</v>
      </c>
      <c r="X30" s="121"/>
      <c r="Y30" s="121"/>
      <c r="Z30" s="121"/>
      <c r="AA30" s="125">
        <f t="shared" si="9"/>
        <v>117</v>
      </c>
      <c r="AB30" s="126">
        <f t="shared" si="0"/>
        <v>8.7750000000000009E-2</v>
      </c>
      <c r="AC30" s="125"/>
      <c r="AD30" s="127">
        <f t="shared" si="10"/>
        <v>117</v>
      </c>
      <c r="AE30" s="126">
        <f t="shared" si="2"/>
        <v>8.7750000000000009E-2</v>
      </c>
      <c r="AF30" s="126">
        <f t="shared" si="3"/>
        <v>8.7750000000000009E-2</v>
      </c>
      <c r="AG30" s="125"/>
      <c r="AH30" s="126"/>
      <c r="AI30" s="128" t="s">
        <v>162</v>
      </c>
      <c r="AJ30" s="125">
        <f t="shared" si="4"/>
        <v>117</v>
      </c>
      <c r="AK30" s="125">
        <f t="shared" si="5"/>
        <v>117</v>
      </c>
      <c r="AL30" s="125" t="s">
        <v>60</v>
      </c>
      <c r="AM30" s="125">
        <f t="shared" si="6"/>
        <v>117</v>
      </c>
      <c r="AN30" s="126">
        <f t="shared" si="7"/>
        <v>8.7750000000000009E-2</v>
      </c>
      <c r="AO30" s="126">
        <f t="shared" si="8"/>
        <v>8.7750000000000009E-2</v>
      </c>
      <c r="AP30" s="88"/>
      <c r="AQ30" s="89"/>
      <c r="AR30" s="90"/>
      <c r="AS30" s="58"/>
      <c r="AT30" s="91"/>
    </row>
    <row r="31" spans="1:47" s="14" customFormat="1" ht="87" customHeight="1" x14ac:dyDescent="0.5">
      <c r="A31" s="128" t="s">
        <v>162</v>
      </c>
      <c r="B31" s="59">
        <v>26</v>
      </c>
      <c r="C31" s="117" t="s">
        <v>150</v>
      </c>
      <c r="D31" s="118" t="s">
        <v>167</v>
      </c>
      <c r="E31" s="119" t="s">
        <v>86</v>
      </c>
      <c r="F31" s="119" t="s">
        <v>168</v>
      </c>
      <c r="G31" s="118" t="s">
        <v>164</v>
      </c>
      <c r="H31" s="118" t="s">
        <v>56</v>
      </c>
      <c r="I31" s="118" t="s">
        <v>155</v>
      </c>
      <c r="J31" s="118" t="s">
        <v>165</v>
      </c>
      <c r="K31" s="119" t="s">
        <v>166</v>
      </c>
      <c r="L31" s="120">
        <v>2.2000000000000001E-3</v>
      </c>
      <c r="M31" s="120">
        <v>2.2000000000000001E-3</v>
      </c>
      <c r="N31" s="118">
        <v>84</v>
      </c>
      <c r="O31" s="121">
        <v>5000</v>
      </c>
      <c r="P31" s="79" t="s">
        <v>158</v>
      </c>
      <c r="Q31" s="121"/>
      <c r="R31" s="122"/>
      <c r="S31" s="122"/>
      <c r="T31" s="123">
        <v>102</v>
      </c>
      <c r="U31" s="123">
        <v>0</v>
      </c>
      <c r="V31" s="123">
        <v>0</v>
      </c>
      <c r="W31" s="123">
        <v>0</v>
      </c>
      <c r="X31" s="121"/>
      <c r="Y31" s="121"/>
      <c r="Z31" s="121"/>
      <c r="AA31" s="125">
        <f t="shared" si="9"/>
        <v>102</v>
      </c>
      <c r="AB31" s="126">
        <f t="shared" si="0"/>
        <v>0.22440000000000002</v>
      </c>
      <c r="AC31" s="125"/>
      <c r="AD31" s="127">
        <f t="shared" si="10"/>
        <v>102</v>
      </c>
      <c r="AE31" s="126">
        <f t="shared" si="2"/>
        <v>0.22440000000000002</v>
      </c>
      <c r="AF31" s="126">
        <f t="shared" si="3"/>
        <v>0.22440000000000002</v>
      </c>
      <c r="AG31" s="125"/>
      <c r="AH31" s="126"/>
      <c r="AI31" s="128" t="s">
        <v>162</v>
      </c>
      <c r="AJ31" s="125">
        <f t="shared" si="4"/>
        <v>102</v>
      </c>
      <c r="AK31" s="125">
        <f t="shared" si="5"/>
        <v>102</v>
      </c>
      <c r="AL31" s="125" t="s">
        <v>60</v>
      </c>
      <c r="AM31" s="125">
        <f t="shared" si="6"/>
        <v>102</v>
      </c>
      <c r="AN31" s="126">
        <f t="shared" si="7"/>
        <v>0.22440000000000002</v>
      </c>
      <c r="AO31" s="126">
        <f t="shared" si="8"/>
        <v>0.22440000000000002</v>
      </c>
      <c r="AP31" s="88"/>
      <c r="AQ31" s="89"/>
      <c r="AR31" s="90"/>
      <c r="AS31" s="58"/>
      <c r="AT31" s="91"/>
    </row>
    <row r="32" spans="1:47" s="14" customFormat="1" ht="87" customHeight="1" x14ac:dyDescent="0.5">
      <c r="A32" s="128" t="s">
        <v>162</v>
      </c>
      <c r="B32" s="59">
        <v>27</v>
      </c>
      <c r="C32" s="117" t="s">
        <v>150</v>
      </c>
      <c r="D32" s="118" t="s">
        <v>169</v>
      </c>
      <c r="E32" s="119" t="s">
        <v>86</v>
      </c>
      <c r="F32" s="119" t="s">
        <v>153</v>
      </c>
      <c r="G32" s="118" t="s">
        <v>80</v>
      </c>
      <c r="H32" s="118" t="s">
        <v>56</v>
      </c>
      <c r="I32" s="118" t="s">
        <v>170</v>
      </c>
      <c r="J32" s="118" t="s">
        <v>171</v>
      </c>
      <c r="K32" s="119" t="s">
        <v>83</v>
      </c>
      <c r="L32" s="120">
        <v>1.5200000000000001E-3</v>
      </c>
      <c r="M32" s="120">
        <v>1.383116883116883E-3</v>
      </c>
      <c r="N32" s="118">
        <v>134</v>
      </c>
      <c r="O32" s="121">
        <v>30000</v>
      </c>
      <c r="P32" s="79" t="s">
        <v>158</v>
      </c>
      <c r="Q32" s="121"/>
      <c r="R32" s="122"/>
      <c r="S32" s="122"/>
      <c r="T32" s="123">
        <v>32</v>
      </c>
      <c r="U32" s="123">
        <v>0</v>
      </c>
      <c r="V32" s="123">
        <v>0</v>
      </c>
      <c r="W32" s="123">
        <v>0</v>
      </c>
      <c r="X32" s="121"/>
      <c r="Y32" s="121"/>
      <c r="Z32" s="121"/>
      <c r="AA32" s="125">
        <f t="shared" si="9"/>
        <v>32</v>
      </c>
      <c r="AB32" s="126">
        <f t="shared" si="0"/>
        <v>4.8640000000000003E-2</v>
      </c>
      <c r="AC32" s="125"/>
      <c r="AD32" s="127">
        <f t="shared" si="10"/>
        <v>32</v>
      </c>
      <c r="AE32" s="126">
        <f t="shared" si="2"/>
        <v>4.4259740259740256E-2</v>
      </c>
      <c r="AF32" s="126">
        <f t="shared" si="3"/>
        <v>4.8640000000000003E-2</v>
      </c>
      <c r="AG32" s="125"/>
      <c r="AH32" s="126"/>
      <c r="AI32" s="128" t="s">
        <v>162</v>
      </c>
      <c r="AJ32" s="125">
        <f t="shared" si="4"/>
        <v>32</v>
      </c>
      <c r="AK32" s="125">
        <f t="shared" si="5"/>
        <v>32</v>
      </c>
      <c r="AL32" s="125" t="s">
        <v>60</v>
      </c>
      <c r="AM32" s="125">
        <f t="shared" si="6"/>
        <v>32</v>
      </c>
      <c r="AN32" s="126">
        <f t="shared" si="7"/>
        <v>4.4259740259740256E-2</v>
      </c>
      <c r="AO32" s="126">
        <f t="shared" si="8"/>
        <v>4.8640000000000003E-2</v>
      </c>
      <c r="AP32" s="88"/>
      <c r="AQ32" s="89"/>
      <c r="AR32" s="90"/>
      <c r="AS32" s="58"/>
      <c r="AT32" s="91"/>
    </row>
    <row r="33" spans="1:46" s="14" customFormat="1" ht="87" customHeight="1" x14ac:dyDescent="0.5">
      <c r="A33" s="128" t="s">
        <v>162</v>
      </c>
      <c r="B33" s="59">
        <v>28</v>
      </c>
      <c r="C33" s="117" t="s">
        <v>150</v>
      </c>
      <c r="D33" s="118" t="s">
        <v>172</v>
      </c>
      <c r="E33" s="119" t="s">
        <v>86</v>
      </c>
      <c r="F33" s="119" t="s">
        <v>153</v>
      </c>
      <c r="G33" s="118" t="s">
        <v>80</v>
      </c>
      <c r="H33" s="118" t="s">
        <v>56</v>
      </c>
      <c r="I33" s="118" t="s">
        <v>170</v>
      </c>
      <c r="J33" s="118" t="s">
        <v>171</v>
      </c>
      <c r="K33" s="119" t="s">
        <v>83</v>
      </c>
      <c r="L33" s="120">
        <v>8.0000000000000004E-4</v>
      </c>
      <c r="M33" s="120">
        <v>7.2727272727272734E-4</v>
      </c>
      <c r="N33" s="118">
        <v>134</v>
      </c>
      <c r="O33" s="121">
        <v>60000</v>
      </c>
      <c r="P33" s="79" t="s">
        <v>158</v>
      </c>
      <c r="Q33" s="121"/>
      <c r="R33" s="122"/>
      <c r="S33" s="122"/>
      <c r="T33" s="123">
        <v>24</v>
      </c>
      <c r="U33" s="123">
        <v>0</v>
      </c>
      <c r="V33" s="123">
        <v>0</v>
      </c>
      <c r="W33" s="123">
        <v>0</v>
      </c>
      <c r="X33" s="121"/>
      <c r="Y33" s="121"/>
      <c r="Z33" s="121"/>
      <c r="AA33" s="125">
        <f t="shared" si="9"/>
        <v>24</v>
      </c>
      <c r="AB33" s="126">
        <f t="shared" si="0"/>
        <v>1.9200000000000002E-2</v>
      </c>
      <c r="AC33" s="125"/>
      <c r="AD33" s="127">
        <f t="shared" si="10"/>
        <v>24</v>
      </c>
      <c r="AE33" s="126">
        <f t="shared" si="2"/>
        <v>1.7454545454545455E-2</v>
      </c>
      <c r="AF33" s="126">
        <f t="shared" si="3"/>
        <v>1.9200000000000002E-2</v>
      </c>
      <c r="AG33" s="125"/>
      <c r="AH33" s="126"/>
      <c r="AI33" s="128" t="s">
        <v>162</v>
      </c>
      <c r="AJ33" s="125">
        <f t="shared" si="4"/>
        <v>24</v>
      </c>
      <c r="AK33" s="125">
        <f t="shared" si="5"/>
        <v>24</v>
      </c>
      <c r="AL33" s="125" t="s">
        <v>60</v>
      </c>
      <c r="AM33" s="125">
        <f t="shared" si="6"/>
        <v>24</v>
      </c>
      <c r="AN33" s="126">
        <f t="shared" si="7"/>
        <v>1.7454545454545455E-2</v>
      </c>
      <c r="AO33" s="126">
        <f t="shared" si="8"/>
        <v>1.9200000000000002E-2</v>
      </c>
      <c r="AP33" s="88"/>
      <c r="AQ33" s="89"/>
      <c r="AR33" s="90"/>
      <c r="AS33" s="58"/>
      <c r="AT33" s="91"/>
    </row>
    <row r="34" spans="1:46" s="14" customFormat="1" ht="87" customHeight="1" x14ac:dyDescent="0.5">
      <c r="A34" s="128" t="s">
        <v>162</v>
      </c>
      <c r="B34" s="59">
        <v>29</v>
      </c>
      <c r="C34" s="117" t="s">
        <v>150</v>
      </c>
      <c r="D34" s="118" t="s">
        <v>173</v>
      </c>
      <c r="E34" s="119" t="s">
        <v>86</v>
      </c>
      <c r="F34" s="119" t="s">
        <v>153</v>
      </c>
      <c r="G34" s="118" t="s">
        <v>174</v>
      </c>
      <c r="H34" s="118" t="s">
        <v>56</v>
      </c>
      <c r="I34" s="118" t="s">
        <v>175</v>
      </c>
      <c r="J34" s="118" t="s">
        <v>175</v>
      </c>
      <c r="K34" s="119" t="s">
        <v>176</v>
      </c>
      <c r="L34" s="120">
        <v>4.4000000000000002E-4</v>
      </c>
      <c r="M34" s="120">
        <v>4.4000000000000002E-4</v>
      </c>
      <c r="N34" s="118">
        <v>98</v>
      </c>
      <c r="O34" s="121">
        <v>5000</v>
      </c>
      <c r="P34" s="79" t="s">
        <v>158</v>
      </c>
      <c r="Q34" s="121"/>
      <c r="R34" s="122"/>
      <c r="S34" s="122"/>
      <c r="T34" s="123">
        <v>648</v>
      </c>
      <c r="U34" s="123">
        <v>0</v>
      </c>
      <c r="V34" s="123">
        <v>0</v>
      </c>
      <c r="W34" s="123">
        <v>0</v>
      </c>
      <c r="X34" s="121"/>
      <c r="Y34" s="121"/>
      <c r="Z34" s="121"/>
      <c r="AA34" s="125">
        <f t="shared" si="9"/>
        <v>648</v>
      </c>
      <c r="AB34" s="126">
        <f t="shared" si="0"/>
        <v>0.28511999999999998</v>
      </c>
      <c r="AC34" s="125"/>
      <c r="AD34" s="127">
        <f t="shared" si="10"/>
        <v>648</v>
      </c>
      <c r="AE34" s="126">
        <f t="shared" si="2"/>
        <v>0.28511999999999998</v>
      </c>
      <c r="AF34" s="126">
        <f t="shared" si="3"/>
        <v>0.28511999999999998</v>
      </c>
      <c r="AG34" s="125"/>
      <c r="AH34" s="126"/>
      <c r="AI34" s="128" t="s">
        <v>162</v>
      </c>
      <c r="AJ34" s="125">
        <f t="shared" si="4"/>
        <v>648</v>
      </c>
      <c r="AK34" s="125">
        <f t="shared" si="5"/>
        <v>648</v>
      </c>
      <c r="AL34" s="125" t="s">
        <v>60</v>
      </c>
      <c r="AM34" s="125">
        <f t="shared" si="6"/>
        <v>648</v>
      </c>
      <c r="AN34" s="126">
        <f t="shared" si="7"/>
        <v>0.28511999999999998</v>
      </c>
      <c r="AO34" s="126">
        <f t="shared" si="8"/>
        <v>0.28511999999999998</v>
      </c>
      <c r="AP34" s="88"/>
      <c r="AQ34" s="89"/>
      <c r="AR34" s="90"/>
      <c r="AS34" s="58"/>
      <c r="AT34" s="91"/>
    </row>
    <row r="35" spans="1:46" s="14" customFormat="1" ht="87" customHeight="1" x14ac:dyDescent="0.5">
      <c r="A35" s="128" t="s">
        <v>162</v>
      </c>
      <c r="B35" s="59">
        <v>30</v>
      </c>
      <c r="C35" s="117" t="s">
        <v>150</v>
      </c>
      <c r="D35" s="118" t="s">
        <v>177</v>
      </c>
      <c r="E35" s="119" t="s">
        <v>86</v>
      </c>
      <c r="F35" s="119" t="s">
        <v>153</v>
      </c>
      <c r="G35" s="118" t="s">
        <v>164</v>
      </c>
      <c r="H35" s="118" t="s">
        <v>56</v>
      </c>
      <c r="I35" s="118" t="s">
        <v>155</v>
      </c>
      <c r="J35" s="118" t="s">
        <v>165</v>
      </c>
      <c r="K35" s="119" t="s">
        <v>166</v>
      </c>
      <c r="L35" s="120">
        <v>9.1E-4</v>
      </c>
      <c r="M35" s="120">
        <v>9.1E-4</v>
      </c>
      <c r="N35" s="118">
        <v>70</v>
      </c>
      <c r="O35" s="121">
        <v>5000</v>
      </c>
      <c r="P35" s="79" t="s">
        <v>158</v>
      </c>
      <c r="Q35" s="121"/>
      <c r="R35" s="122"/>
      <c r="S35" s="122"/>
      <c r="T35" s="123">
        <v>27</v>
      </c>
      <c r="U35" s="123">
        <v>0</v>
      </c>
      <c r="V35" s="123">
        <v>0</v>
      </c>
      <c r="W35" s="123">
        <v>0</v>
      </c>
      <c r="X35" s="121"/>
      <c r="Y35" s="121"/>
      <c r="Z35" s="121"/>
      <c r="AA35" s="125">
        <f t="shared" si="9"/>
        <v>27</v>
      </c>
      <c r="AB35" s="126">
        <f t="shared" si="0"/>
        <v>2.4570000000000002E-2</v>
      </c>
      <c r="AC35" s="125"/>
      <c r="AD35" s="127">
        <f t="shared" si="10"/>
        <v>27</v>
      </c>
      <c r="AE35" s="126">
        <f t="shared" si="2"/>
        <v>2.4570000000000002E-2</v>
      </c>
      <c r="AF35" s="126">
        <f t="shared" si="3"/>
        <v>2.4570000000000002E-2</v>
      </c>
      <c r="AG35" s="125"/>
      <c r="AH35" s="126"/>
      <c r="AI35" s="128" t="s">
        <v>162</v>
      </c>
      <c r="AJ35" s="125">
        <f t="shared" si="4"/>
        <v>27</v>
      </c>
      <c r="AK35" s="125">
        <f t="shared" si="5"/>
        <v>27</v>
      </c>
      <c r="AL35" s="125" t="s">
        <v>60</v>
      </c>
      <c r="AM35" s="125">
        <f t="shared" si="6"/>
        <v>27</v>
      </c>
      <c r="AN35" s="126">
        <f t="shared" si="7"/>
        <v>2.4570000000000002E-2</v>
      </c>
      <c r="AO35" s="126">
        <f t="shared" si="8"/>
        <v>2.4570000000000002E-2</v>
      </c>
      <c r="AP35" s="88"/>
      <c r="AQ35" s="89"/>
      <c r="AR35" s="90"/>
      <c r="AS35" s="58"/>
      <c r="AT35" s="91"/>
    </row>
    <row r="36" spans="1:46" s="14" customFormat="1" ht="87" customHeight="1" x14ac:dyDescent="0.5">
      <c r="A36" s="128" t="s">
        <v>162</v>
      </c>
      <c r="B36" s="59">
        <v>31</v>
      </c>
      <c r="C36" s="117" t="s">
        <v>150</v>
      </c>
      <c r="D36" s="118" t="s">
        <v>178</v>
      </c>
      <c r="E36" s="119" t="s">
        <v>179</v>
      </c>
      <c r="F36" s="119" t="s">
        <v>153</v>
      </c>
      <c r="G36" s="118" t="s">
        <v>164</v>
      </c>
      <c r="H36" s="118" t="s">
        <v>56</v>
      </c>
      <c r="I36" s="118" t="s">
        <v>155</v>
      </c>
      <c r="J36" s="118" t="s">
        <v>165</v>
      </c>
      <c r="K36" s="119" t="s">
        <v>166</v>
      </c>
      <c r="L36" s="120">
        <v>9.1E-4</v>
      </c>
      <c r="M36" s="120">
        <v>9.1E-4</v>
      </c>
      <c r="N36" s="118">
        <v>70</v>
      </c>
      <c r="O36" s="121">
        <v>5000</v>
      </c>
      <c r="P36" s="79" t="s">
        <v>158</v>
      </c>
      <c r="Q36" s="121"/>
      <c r="R36" s="122"/>
      <c r="S36" s="122"/>
      <c r="T36" s="123">
        <v>18</v>
      </c>
      <c r="U36" s="123">
        <v>0</v>
      </c>
      <c r="V36" s="123">
        <v>0</v>
      </c>
      <c r="W36" s="123">
        <v>0</v>
      </c>
      <c r="X36" s="121"/>
      <c r="Y36" s="121"/>
      <c r="Z36" s="121"/>
      <c r="AA36" s="125">
        <f t="shared" si="9"/>
        <v>18</v>
      </c>
      <c r="AB36" s="126">
        <f t="shared" si="0"/>
        <v>1.6379999999999999E-2</v>
      </c>
      <c r="AC36" s="125"/>
      <c r="AD36" s="127">
        <f t="shared" si="10"/>
        <v>18</v>
      </c>
      <c r="AE36" s="126">
        <f t="shared" si="2"/>
        <v>1.6379999999999999E-2</v>
      </c>
      <c r="AF36" s="126">
        <f t="shared" si="3"/>
        <v>1.6379999999999999E-2</v>
      </c>
      <c r="AG36" s="125"/>
      <c r="AH36" s="126"/>
      <c r="AI36" s="128" t="s">
        <v>162</v>
      </c>
      <c r="AJ36" s="125">
        <f t="shared" si="4"/>
        <v>18</v>
      </c>
      <c r="AK36" s="125">
        <f t="shared" si="5"/>
        <v>18</v>
      </c>
      <c r="AL36" s="125" t="s">
        <v>60</v>
      </c>
      <c r="AM36" s="125">
        <f t="shared" si="6"/>
        <v>18</v>
      </c>
      <c r="AN36" s="126">
        <f t="shared" si="7"/>
        <v>1.6379999999999999E-2</v>
      </c>
      <c r="AO36" s="126">
        <f t="shared" si="8"/>
        <v>1.6379999999999999E-2</v>
      </c>
      <c r="AP36" s="88"/>
      <c r="AQ36" s="89"/>
      <c r="AR36" s="90"/>
      <c r="AS36" s="58"/>
      <c r="AT36" s="91"/>
    </row>
    <row r="37" spans="1:46" s="14" customFormat="1" ht="87" customHeight="1" x14ac:dyDescent="0.5">
      <c r="A37" s="128" t="s">
        <v>162</v>
      </c>
      <c r="B37" s="59">
        <v>32</v>
      </c>
      <c r="C37" s="117" t="s">
        <v>150</v>
      </c>
      <c r="D37" s="118" t="s">
        <v>180</v>
      </c>
      <c r="E37" s="119" t="s">
        <v>86</v>
      </c>
      <c r="F37" s="119" t="s">
        <v>153</v>
      </c>
      <c r="G37" s="118" t="s">
        <v>164</v>
      </c>
      <c r="H37" s="118" t="s">
        <v>56</v>
      </c>
      <c r="I37" s="118" t="s">
        <v>155</v>
      </c>
      <c r="J37" s="118" t="s">
        <v>165</v>
      </c>
      <c r="K37" s="119" t="s">
        <v>166</v>
      </c>
      <c r="L37" s="120">
        <v>9.1E-4</v>
      </c>
      <c r="M37" s="120">
        <v>9.1E-4</v>
      </c>
      <c r="N37" s="118">
        <v>70</v>
      </c>
      <c r="O37" s="121">
        <v>5000</v>
      </c>
      <c r="P37" s="79" t="s">
        <v>158</v>
      </c>
      <c r="Q37" s="121"/>
      <c r="R37" s="122"/>
      <c r="S37" s="122"/>
      <c r="T37" s="123">
        <v>20</v>
      </c>
      <c r="U37" s="123">
        <v>0</v>
      </c>
      <c r="V37" s="123">
        <v>0</v>
      </c>
      <c r="W37" s="123">
        <v>0</v>
      </c>
      <c r="X37" s="121"/>
      <c r="Y37" s="121"/>
      <c r="Z37" s="121"/>
      <c r="AA37" s="125">
        <f t="shared" si="9"/>
        <v>20</v>
      </c>
      <c r="AB37" s="126">
        <f t="shared" si="0"/>
        <v>1.8200000000000001E-2</v>
      </c>
      <c r="AC37" s="125"/>
      <c r="AD37" s="127">
        <f t="shared" si="10"/>
        <v>20</v>
      </c>
      <c r="AE37" s="126">
        <f t="shared" si="2"/>
        <v>1.8200000000000001E-2</v>
      </c>
      <c r="AF37" s="126">
        <f t="shared" si="3"/>
        <v>1.8200000000000001E-2</v>
      </c>
      <c r="AG37" s="125"/>
      <c r="AH37" s="126"/>
      <c r="AI37" s="128" t="s">
        <v>162</v>
      </c>
      <c r="AJ37" s="125">
        <f t="shared" si="4"/>
        <v>20</v>
      </c>
      <c r="AK37" s="125">
        <f t="shared" si="5"/>
        <v>20</v>
      </c>
      <c r="AL37" s="125" t="s">
        <v>60</v>
      </c>
      <c r="AM37" s="125">
        <f t="shared" si="6"/>
        <v>20</v>
      </c>
      <c r="AN37" s="126">
        <f t="shared" si="7"/>
        <v>1.8200000000000001E-2</v>
      </c>
      <c r="AO37" s="126">
        <f t="shared" si="8"/>
        <v>1.8200000000000001E-2</v>
      </c>
      <c r="AP37" s="88"/>
      <c r="AQ37" s="89"/>
      <c r="AR37" s="90"/>
      <c r="AS37" s="58"/>
      <c r="AT37" s="91"/>
    </row>
    <row r="38" spans="1:46" s="14" customFormat="1" ht="87" customHeight="1" x14ac:dyDescent="0.5">
      <c r="A38" s="128" t="s">
        <v>162</v>
      </c>
      <c r="B38" s="59">
        <v>33</v>
      </c>
      <c r="C38" s="117" t="s">
        <v>150</v>
      </c>
      <c r="D38" s="118" t="s">
        <v>181</v>
      </c>
      <c r="E38" s="119" t="s">
        <v>86</v>
      </c>
      <c r="F38" s="119" t="s">
        <v>168</v>
      </c>
      <c r="G38" s="118" t="s">
        <v>80</v>
      </c>
      <c r="H38" s="118" t="s">
        <v>56</v>
      </c>
      <c r="I38" s="118" t="s">
        <v>182</v>
      </c>
      <c r="J38" s="118" t="s">
        <v>182</v>
      </c>
      <c r="K38" s="119" t="s">
        <v>83</v>
      </c>
      <c r="L38" s="120">
        <v>1.4499999999999999E-3</v>
      </c>
      <c r="M38" s="120">
        <v>1.3181818181818182E-3</v>
      </c>
      <c r="N38" s="118">
        <v>120</v>
      </c>
      <c r="O38" s="121">
        <v>100000</v>
      </c>
      <c r="P38" s="79" t="s">
        <v>158</v>
      </c>
      <c r="Q38" s="121"/>
      <c r="R38" s="122"/>
      <c r="S38" s="122"/>
      <c r="T38" s="123">
        <v>31</v>
      </c>
      <c r="U38" s="123">
        <v>0</v>
      </c>
      <c r="V38" s="123">
        <v>0</v>
      </c>
      <c r="W38" s="123">
        <v>0</v>
      </c>
      <c r="X38" s="121"/>
      <c r="Y38" s="121"/>
      <c r="Z38" s="121"/>
      <c r="AA38" s="125">
        <f t="shared" si="9"/>
        <v>31</v>
      </c>
      <c r="AB38" s="126">
        <f t="shared" si="0"/>
        <v>4.4949999999999997E-2</v>
      </c>
      <c r="AC38" s="125"/>
      <c r="AD38" s="127">
        <f t="shared" si="10"/>
        <v>31</v>
      </c>
      <c r="AE38" s="126">
        <f t="shared" si="2"/>
        <v>4.0863636363636366E-2</v>
      </c>
      <c r="AF38" s="126">
        <f t="shared" si="3"/>
        <v>4.4949999999999997E-2</v>
      </c>
      <c r="AG38" s="125"/>
      <c r="AH38" s="126"/>
      <c r="AI38" s="128" t="s">
        <v>162</v>
      </c>
      <c r="AJ38" s="125">
        <f t="shared" si="4"/>
        <v>31</v>
      </c>
      <c r="AK38" s="125">
        <f t="shared" si="5"/>
        <v>31</v>
      </c>
      <c r="AL38" s="125" t="s">
        <v>60</v>
      </c>
      <c r="AM38" s="125">
        <f t="shared" si="6"/>
        <v>31</v>
      </c>
      <c r="AN38" s="126">
        <f t="shared" si="7"/>
        <v>4.0863636363636366E-2</v>
      </c>
      <c r="AO38" s="126">
        <f t="shared" si="8"/>
        <v>4.4949999999999997E-2</v>
      </c>
      <c r="AP38" s="88"/>
      <c r="AQ38" s="89"/>
      <c r="AR38" s="90"/>
      <c r="AS38" s="58"/>
      <c r="AT38" s="91"/>
    </row>
    <row r="39" spans="1:46" s="14" customFormat="1" ht="87" customHeight="1" x14ac:dyDescent="0.5">
      <c r="A39" s="128" t="s">
        <v>162</v>
      </c>
      <c r="B39" s="59">
        <v>34</v>
      </c>
      <c r="C39" s="117" t="s">
        <v>150</v>
      </c>
      <c r="D39" s="118" t="s">
        <v>183</v>
      </c>
      <c r="E39" s="119" t="s">
        <v>86</v>
      </c>
      <c r="F39" s="119" t="s">
        <v>153</v>
      </c>
      <c r="G39" s="118" t="s">
        <v>80</v>
      </c>
      <c r="H39" s="118" t="s">
        <v>56</v>
      </c>
      <c r="I39" s="118" t="s">
        <v>184</v>
      </c>
      <c r="J39" s="118" t="s">
        <v>182</v>
      </c>
      <c r="K39" s="119" t="s">
        <v>83</v>
      </c>
      <c r="L39" s="124">
        <v>1.16E-3</v>
      </c>
      <c r="M39" s="124">
        <v>1.0584415584415584E-3</v>
      </c>
      <c r="N39" s="118">
        <v>101</v>
      </c>
      <c r="O39" s="121">
        <v>5000</v>
      </c>
      <c r="P39" s="79" t="s">
        <v>158</v>
      </c>
      <c r="Q39" s="121"/>
      <c r="R39" s="122"/>
      <c r="S39" s="122"/>
      <c r="T39" s="121">
        <v>23</v>
      </c>
      <c r="U39" s="123"/>
      <c r="V39" s="123"/>
      <c r="W39" s="123"/>
      <c r="X39" s="121"/>
      <c r="Y39" s="121"/>
      <c r="Z39" s="121"/>
      <c r="AA39" s="125">
        <f t="shared" si="9"/>
        <v>23</v>
      </c>
      <c r="AB39" s="126">
        <f t="shared" si="0"/>
        <v>2.6679999999999999E-2</v>
      </c>
      <c r="AC39" s="125"/>
      <c r="AD39" s="127">
        <f t="shared" si="10"/>
        <v>23</v>
      </c>
      <c r="AE39" s="126">
        <f t="shared" si="2"/>
        <v>2.4344155844155845E-2</v>
      </c>
      <c r="AF39" s="126">
        <f t="shared" si="3"/>
        <v>2.6679999999999999E-2</v>
      </c>
      <c r="AG39" s="125"/>
      <c r="AH39" s="126"/>
      <c r="AI39" s="128" t="s">
        <v>162</v>
      </c>
      <c r="AJ39" s="125">
        <f t="shared" si="4"/>
        <v>23</v>
      </c>
      <c r="AK39" s="125">
        <f t="shared" si="5"/>
        <v>23</v>
      </c>
      <c r="AL39" s="125" t="s">
        <v>60</v>
      </c>
      <c r="AM39" s="125">
        <f t="shared" si="6"/>
        <v>23</v>
      </c>
      <c r="AN39" s="126">
        <f t="shared" si="7"/>
        <v>2.4344155844155845E-2</v>
      </c>
      <c r="AO39" s="126">
        <f t="shared" si="8"/>
        <v>2.6679999999999999E-2</v>
      </c>
      <c r="AP39" s="88"/>
      <c r="AQ39" s="89"/>
      <c r="AR39" s="90"/>
      <c r="AS39" s="58"/>
      <c r="AT39" s="91"/>
    </row>
    <row r="40" spans="1:46" s="14" customFormat="1" ht="87" customHeight="1" x14ac:dyDescent="0.5">
      <c r="A40" s="128" t="s">
        <v>162</v>
      </c>
      <c r="B40" s="59">
        <v>35</v>
      </c>
      <c r="C40" s="117" t="s">
        <v>150</v>
      </c>
      <c r="D40" s="118" t="s">
        <v>185</v>
      </c>
      <c r="E40" s="119" t="s">
        <v>86</v>
      </c>
      <c r="F40" s="119" t="s">
        <v>153</v>
      </c>
      <c r="G40" s="118" t="s">
        <v>80</v>
      </c>
      <c r="H40" s="118" t="s">
        <v>56</v>
      </c>
      <c r="I40" s="118" t="s">
        <v>184</v>
      </c>
      <c r="J40" s="118" t="s">
        <v>182</v>
      </c>
      <c r="K40" s="119" t="s">
        <v>83</v>
      </c>
      <c r="L40" s="124">
        <v>1.09E-3</v>
      </c>
      <c r="M40" s="124">
        <v>9.8701298701298697E-4</v>
      </c>
      <c r="N40" s="118">
        <v>76</v>
      </c>
      <c r="O40" s="121">
        <v>5000</v>
      </c>
      <c r="P40" s="79" t="s">
        <v>158</v>
      </c>
      <c r="Q40" s="121"/>
      <c r="R40" s="122"/>
      <c r="S40" s="122"/>
      <c r="T40" s="123">
        <v>332</v>
      </c>
      <c r="U40" s="123"/>
      <c r="V40" s="123"/>
      <c r="W40" s="123"/>
      <c r="X40" s="121"/>
      <c r="Y40" s="121"/>
      <c r="Z40" s="121"/>
      <c r="AA40" s="125">
        <f t="shared" si="9"/>
        <v>332</v>
      </c>
      <c r="AB40" s="126">
        <f t="shared" si="0"/>
        <v>0.36188000000000003</v>
      </c>
      <c r="AC40" s="125"/>
      <c r="AD40" s="127">
        <f t="shared" si="10"/>
        <v>332</v>
      </c>
      <c r="AE40" s="126">
        <f t="shared" si="2"/>
        <v>0.3276883116883117</v>
      </c>
      <c r="AF40" s="126">
        <f t="shared" si="3"/>
        <v>0.36188000000000003</v>
      </c>
      <c r="AG40" s="125"/>
      <c r="AH40" s="126"/>
      <c r="AI40" s="128" t="s">
        <v>162</v>
      </c>
      <c r="AJ40" s="125">
        <f t="shared" si="4"/>
        <v>332</v>
      </c>
      <c r="AK40" s="125">
        <f t="shared" si="5"/>
        <v>332</v>
      </c>
      <c r="AL40" s="125" t="s">
        <v>60</v>
      </c>
      <c r="AM40" s="125">
        <f t="shared" si="6"/>
        <v>332</v>
      </c>
      <c r="AN40" s="126">
        <f t="shared" si="7"/>
        <v>0.3276883116883117</v>
      </c>
      <c r="AO40" s="126">
        <f t="shared" si="8"/>
        <v>0.36188000000000003</v>
      </c>
      <c r="AP40" s="88"/>
      <c r="AQ40" s="89"/>
      <c r="AR40" s="90"/>
      <c r="AS40" s="58"/>
      <c r="AT40" s="91"/>
    </row>
    <row r="41" spans="1:46" s="14" customFormat="1" ht="87" customHeight="1" x14ac:dyDescent="0.5">
      <c r="A41" s="128" t="s">
        <v>162</v>
      </c>
      <c r="B41" s="59">
        <v>36</v>
      </c>
      <c r="C41" s="117" t="s">
        <v>150</v>
      </c>
      <c r="D41" s="118" t="s">
        <v>186</v>
      </c>
      <c r="E41" s="119" t="s">
        <v>78</v>
      </c>
      <c r="F41" s="119" t="s">
        <v>153</v>
      </c>
      <c r="G41" s="118" t="s">
        <v>80</v>
      </c>
      <c r="H41" s="118" t="s">
        <v>56</v>
      </c>
      <c r="I41" s="118" t="s">
        <v>184</v>
      </c>
      <c r="J41" s="118" t="s">
        <v>187</v>
      </c>
      <c r="K41" s="119" t="s">
        <v>83</v>
      </c>
      <c r="L41" s="124">
        <v>1.5099999999999999E-2</v>
      </c>
      <c r="M41" s="124">
        <v>1.3727272727272727E-2</v>
      </c>
      <c r="N41" s="118">
        <v>99</v>
      </c>
      <c r="O41" s="121">
        <v>20000</v>
      </c>
      <c r="P41" s="79" t="s">
        <v>158</v>
      </c>
      <c r="Q41" s="121"/>
      <c r="R41" s="122"/>
      <c r="S41" s="122"/>
      <c r="T41" s="123">
        <v>522</v>
      </c>
      <c r="U41" s="123"/>
      <c r="V41" s="123"/>
      <c r="W41" s="123"/>
      <c r="X41" s="121"/>
      <c r="Y41" s="121"/>
      <c r="Z41" s="121"/>
      <c r="AA41" s="125">
        <f t="shared" si="9"/>
        <v>522</v>
      </c>
      <c r="AB41" s="126">
        <f t="shared" si="0"/>
        <v>7.8821999999999992</v>
      </c>
      <c r="AC41" s="125"/>
      <c r="AD41" s="127">
        <f t="shared" si="10"/>
        <v>522</v>
      </c>
      <c r="AE41" s="126">
        <f t="shared" si="2"/>
        <v>7.1656363636363638</v>
      </c>
      <c r="AF41" s="126">
        <f t="shared" si="3"/>
        <v>7.8821999999999992</v>
      </c>
      <c r="AG41" s="125"/>
      <c r="AH41" s="126"/>
      <c r="AI41" s="128" t="s">
        <v>162</v>
      </c>
      <c r="AJ41" s="125">
        <f t="shared" si="4"/>
        <v>522</v>
      </c>
      <c r="AK41" s="125">
        <f t="shared" si="5"/>
        <v>522</v>
      </c>
      <c r="AL41" s="125" t="s">
        <v>60</v>
      </c>
      <c r="AM41" s="125">
        <f t="shared" si="6"/>
        <v>522</v>
      </c>
      <c r="AN41" s="126">
        <f t="shared" si="7"/>
        <v>7.1656363636363638</v>
      </c>
      <c r="AO41" s="126">
        <f t="shared" si="8"/>
        <v>7.8821999999999992</v>
      </c>
      <c r="AP41" s="88"/>
      <c r="AQ41" s="89"/>
      <c r="AR41" s="90"/>
      <c r="AS41" s="58"/>
      <c r="AT41" s="91"/>
    </row>
    <row r="42" spans="1:46" s="14" customFormat="1" ht="87" customHeight="1" x14ac:dyDescent="0.5">
      <c r="A42" s="128" t="s">
        <v>159</v>
      </c>
      <c r="B42" s="59">
        <v>37</v>
      </c>
      <c r="C42" s="117" t="s">
        <v>150</v>
      </c>
      <c r="D42" s="118" t="s">
        <v>188</v>
      </c>
      <c r="E42" s="119" t="s">
        <v>189</v>
      </c>
      <c r="F42" s="119" t="s">
        <v>153</v>
      </c>
      <c r="G42" s="118" t="s">
        <v>80</v>
      </c>
      <c r="H42" s="118" t="s">
        <v>56</v>
      </c>
      <c r="I42" s="118" t="s">
        <v>155</v>
      </c>
      <c r="J42" s="118" t="s">
        <v>171</v>
      </c>
      <c r="K42" s="119" t="s">
        <v>83</v>
      </c>
      <c r="L42" s="124">
        <v>0.12486</v>
      </c>
      <c r="M42" s="124">
        <v>0.11350649350649351</v>
      </c>
      <c r="N42" s="118">
        <v>120</v>
      </c>
      <c r="O42" s="121">
        <v>1000</v>
      </c>
      <c r="P42" s="79" t="s">
        <v>158</v>
      </c>
      <c r="Q42" s="121"/>
      <c r="R42" s="122"/>
      <c r="S42" s="122"/>
      <c r="T42" s="123">
        <v>39</v>
      </c>
      <c r="U42" s="123"/>
      <c r="V42" s="123"/>
      <c r="W42" s="123"/>
      <c r="X42" s="121"/>
      <c r="Y42" s="121"/>
      <c r="Z42" s="121"/>
      <c r="AA42" s="125">
        <f t="shared" si="9"/>
        <v>39</v>
      </c>
      <c r="AB42" s="126">
        <f t="shared" si="0"/>
        <v>4.8695399999999998</v>
      </c>
      <c r="AC42" s="125"/>
      <c r="AD42" s="127">
        <f t="shared" si="10"/>
        <v>39</v>
      </c>
      <c r="AE42" s="126">
        <f t="shared" si="2"/>
        <v>4.4267532467532469</v>
      </c>
      <c r="AF42" s="126">
        <f t="shared" si="3"/>
        <v>4.8695399999999998</v>
      </c>
      <c r="AG42" s="125"/>
      <c r="AH42" s="126"/>
      <c r="AI42" s="128" t="s">
        <v>159</v>
      </c>
      <c r="AJ42" s="125">
        <f t="shared" si="4"/>
        <v>39</v>
      </c>
      <c r="AK42" s="125">
        <f t="shared" si="5"/>
        <v>39</v>
      </c>
      <c r="AL42" s="125" t="s">
        <v>74</v>
      </c>
      <c r="AM42" s="125">
        <f t="shared" si="6"/>
        <v>39</v>
      </c>
      <c r="AN42" s="126">
        <f t="shared" si="7"/>
        <v>4.4267532467532469</v>
      </c>
      <c r="AO42" s="126">
        <f t="shared" si="8"/>
        <v>4.8695399999999998</v>
      </c>
      <c r="AP42" s="88"/>
      <c r="AQ42" s="89"/>
      <c r="AR42" s="90"/>
      <c r="AS42" s="58"/>
      <c r="AT42" s="91"/>
    </row>
  </sheetData>
  <autoFilter ref="B5:AU42" xr:uid="{00000000-0001-0000-0000-000000000000}"/>
  <mergeCells count="10">
    <mergeCell ref="AP3:AR4"/>
    <mergeCell ref="AS3:AS5"/>
    <mergeCell ref="AA4:AB4"/>
    <mergeCell ref="AD4:AF4"/>
    <mergeCell ref="T3:W4"/>
    <mergeCell ref="X3:Z4"/>
    <mergeCell ref="AA3:AF3"/>
    <mergeCell ref="AG3:AH4"/>
    <mergeCell ref="AI3:AL4"/>
    <mergeCell ref="AM3:AO4"/>
  </mergeCells>
  <conditionalFormatting sqref="D6:D16">
    <cfRule type="expression" dxfId="0" priority="1">
      <formula>COUNTIF($D$6:$D$72,$D6)&gt;1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THANH_Riem</dc:creator>
  <cp:lastModifiedBy>MINH NGUYEN NHU</cp:lastModifiedBy>
  <dcterms:created xsi:type="dcterms:W3CDTF">2015-06-05T18:17:20Z</dcterms:created>
  <dcterms:modified xsi:type="dcterms:W3CDTF">2026-01-19T09:54:54Z</dcterms:modified>
</cp:coreProperties>
</file>