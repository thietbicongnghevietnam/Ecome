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70L4853\Desktop\a\"/>
    </mc:Choice>
  </mc:AlternateContent>
  <bookViews>
    <workbookView xWindow="0" yWindow="0" windowWidth="24000" windowHeight="8235"/>
  </bookViews>
  <sheets>
    <sheet name="Sheet1" sheetId="1" r:id="rId1"/>
    <sheet name="Master(Ko Xóa)" sheetId="2" r:id="rId2"/>
  </sheets>
  <definedNames>
    <definedName name="_xlnm._FilterDatabase" localSheetId="1" hidden="1">'Master(Ko Xóa)'!$A$1:$H$50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 i="1" l="1"/>
  <c r="G4" i="1"/>
  <c r="G5" i="1"/>
  <c r="G6" i="1"/>
  <c r="G2" i="1" l="1"/>
  <c r="O3" i="2"/>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authors>
    <author>NGUYEN THI_Dao</author>
  </authors>
  <commentList>
    <comment ref="A1" authorId="0" shapeId="0">
      <text>
        <r>
          <rPr>
            <sz val="9"/>
            <color indexed="81"/>
            <rFont val="Tahoma"/>
            <family val="2"/>
          </rPr>
          <t xml:space="preserve">B1: Chọn TypeRQ theo droplist.
B2:Ctrl +D copy tớ dòng tiếp theo
</t>
        </r>
      </text>
    </comment>
    <comment ref="N1" authorId="0" shapeId="0">
      <text>
        <r>
          <rPr>
            <sz val="9"/>
            <color indexed="81"/>
            <rFont val="Tahoma"/>
            <family val="2"/>
          </rPr>
          <t xml:space="preserve">Input RQ cần RQ Reset
</t>
        </r>
      </text>
    </comment>
    <comment ref="F2" authorId="0" shapeId="0">
      <text>
        <r>
          <rPr>
            <sz val="9"/>
            <color indexed="81"/>
            <rFont val="Tahoma"/>
            <family val="2"/>
          </rPr>
          <t>B1: Chọn MvType sẽ lọc theo TypeRQ.</t>
        </r>
        <r>
          <rPr>
            <b/>
            <sz val="9"/>
            <color indexed="81"/>
            <rFont val="Tahoma"/>
            <family val="2"/>
          </rPr>
          <t xml:space="preserve">
</t>
        </r>
      </text>
    </comment>
  </commentList>
</comments>
</file>

<file path=xl/sharedStrings.xml><?xml version="1.0" encoding="utf-8"?>
<sst xmlns="http://schemas.openxmlformats.org/spreadsheetml/2006/main" count="204" uniqueCount="104">
  <si>
    <t>Sloc</t>
  </si>
  <si>
    <t>Material</t>
  </si>
  <si>
    <t>TypeRQ</t>
  </si>
  <si>
    <t>Mvtype</t>
  </si>
  <si>
    <t>Plant</t>
  </si>
  <si>
    <t>CostCenter</t>
  </si>
  <si>
    <t>Qty</t>
  </si>
  <si>
    <t>1GZB10</t>
  </si>
  <si>
    <t>VendorCode</t>
  </si>
  <si>
    <t>Note</t>
  </si>
  <si>
    <t>ActualPrice</t>
  </si>
  <si>
    <t>MVContent</t>
  </si>
  <si>
    <t>RQ_Reset</t>
  </si>
  <si>
    <t>In</t>
  </si>
  <si>
    <t>V501</t>
  </si>
  <si>
    <t>VA005</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</si>
  <si>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</si>
  <si>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</si>
  <si>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</si>
  <si>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</si>
  <si>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</si>
  <si>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</si>
  <si>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</si>
  <si>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</si>
  <si>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</si>
  <si>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</si>
  <si>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</si>
  <si>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</si>
  <si>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</si>
  <si>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</si>
  <si>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</si>
  <si>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</si>
  <si>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</si>
  <si>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</si>
  <si>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</si>
  <si>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</si>
  <si>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</si>
  <si>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</si>
  <si>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</si>
  <si>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</si>
  <si>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</si>
  <si>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</si>
  <si>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</si>
  <si>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</si>
  <si>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</si>
  <si>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</si>
  <si>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</si>
  <si>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</si>
  <si>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</si>
  <si>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</si>
  <si>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</si>
  <si>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</si>
  <si>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</si>
  <si>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</si>
  <si>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</si>
  <si>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</si>
  <si>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</si>
  <si>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</si>
  <si>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</si>
  <si>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</si>
  <si>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</si>
  <si>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</si>
  <si>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</si>
  <si>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</si>
  <si>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</si>
  <si>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</si>
  <si>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</si>
  <si>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</si>
  <si>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</si>
  <si>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</si>
  <si>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</si>
  <si>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</si>
  <si>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</si>
  <si>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</si>
  <si>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</si>
  <si>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</si>
  <si>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</si>
  <si>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</si>
  <si>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</si>
  <si>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</si>
  <si>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</si>
  <si>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</si>
  <si>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</si>
  <si>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</si>
  <si>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</si>
  <si>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</si>
  <si>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</si>
  <si>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</si>
  <si>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</si>
  <si>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</si>
  <si>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</si>
  <si>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</si>
  <si>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</si>
  <si>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</si>
  <si>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</si>
  <si>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</si>
  <si>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D1BB2201A055</t>
  </si>
  <si>
    <t>D1BB4701A317</t>
  </si>
  <si>
    <t>DRC2143T0L</t>
  </si>
  <si>
    <t>ERJ3EKF5101V</t>
  </si>
  <si>
    <t>ERJ3EKF6200V</t>
  </si>
  <si>
    <t>Panasonic SVN_Reset</t>
  </si>
  <si>
    <t>ECQE6333RKF-EN_Reset</t>
  </si>
  <si>
    <t>RQB-PUR-0722-21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</si>
</sst>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quotePrefix="1"/>
    <xf numFmtId="0" fontId="0" fillId="2" borderId="0" xfId="0" applyFill="1"/>
    <xf numFmtId="0" fontId="0" fillId="0" borderId="0" xfId="0" applyAlignment="1">
      <alignment vertical="center" wrapText="1"/>
    </xf>
    <xf numFmtId="0" fontId="0" fillId="0" borderId="0" xfId="0" applyFill="1"/>
    <xf numFmtId="0" fontId="1" fillId="0" borderId="0" xfId="0" applyFont="1" applyFill="1" applyAlignment="1">
      <alignment wrapText="1"/>
    </xf>
    <xf numFmtId="0" fontId="1" fillId="0" borderId="0" xfId="0" applyFont="1" applyAlignment="1">
      <alignment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6"/>
  <sheetViews>
    <sheetView tabSelected="1" workbookViewId="0">
      <selection activeCell="N15" sqref="N15"/>
    </sheetView>
  </sheetViews>
  <sheetFormatPr defaultRowHeight="15" x14ac:dyDescent="0.25"/>
  <cols>
    <col min="1" max="1" width="9.5703125" style="4" customWidth="1"/>
    <col min="2" max="2" width="26.7109375" customWidth="1"/>
    <col min="5" max="5" width="11" customWidth="1"/>
    <col min="6" max="6" width="9.140625" style="4"/>
    <col min="7" max="7" width="13.7109375" style="4" customWidth="1"/>
    <col min="8" max="8" width="15.7109375" customWidth="1"/>
    <col min="9" max="9" width="18.7109375" customWidth="1"/>
    <col min="10" max="10" width="11.85546875" customWidth="1"/>
    <col min="12" max="13" width="21" customWidth="1"/>
    <col min="14" max="14" width="23.85546875" customWidth="1"/>
  </cols>
  <sheetData>
    <row r="1" spans="1:14" ht="33.75" customHeight="1" x14ac:dyDescent="0.25">
      <c r="A1" s="5" t="s">
        <v>2</v>
      </c>
      <c r="B1" s="6" t="s">
        <v>1</v>
      </c>
      <c r="C1" s="6" t="s">
        <v>0</v>
      </c>
      <c r="D1" s="6" t="s">
        <v>6</v>
      </c>
      <c r="E1" s="6" t="s">
        <v>10</v>
      </c>
      <c r="F1" s="5" t="s">
        <v>3</v>
      </c>
      <c r="G1" s="5" t="s">
        <v>11</v>
      </c>
      <c r="H1" s="6" t="s">
        <v>4</v>
      </c>
      <c r="I1" s="6" t="s">
        <v>5</v>
      </c>
      <c r="J1" s="6" t="s">
        <v>8</v>
      </c>
      <c r="K1" s="6" t="s">
        <v>9</v>
      </c>
      <c r="L1" s="6" t="s">
        <v>16</v>
      </c>
      <c r="M1" s="6" t="s">
        <v>17</v>
      </c>
      <c r="N1" s="7" t="s">
        <v>12</v>
      </c>
    </row>
    <row r="2" spans="1:14" ht="30" customHeight="1" x14ac:dyDescent="0.25">
      <c r="A2" s="2">
        <v>2</v>
      </c>
      <c r="B2" s="3" t="s">
        <v>96</v>
      </c>
      <c r="C2" s="1">
        <v>2020</v>
      </c>
      <c r="D2">
        <v>5</v>
      </c>
      <c r="E2">
        <v>5.1566453999999998E-2</v>
      </c>
      <c r="F2" s="2">
        <v>291</v>
      </c>
      <c r="G2" s="2" t="str">
        <f>VLOOKUP(F2,'Master(Ko Xóa)'!$F$2:$H$158,3,0)</f>
        <v>Out</v>
      </c>
      <c r="H2" s="3" t="s">
        <v>14</v>
      </c>
      <c r="I2" t="s">
        <v>7</v>
      </c>
      <c r="J2" t="s">
        <v>15</v>
      </c>
      <c r="L2" t="s">
        <v>101</v>
      </c>
      <c r="M2" t="s">
        <v>102</v>
      </c>
      <c r="N2" t="s">
        <v>103</v>
      </c>
    </row>
    <row r="3" spans="1:14" x14ac:dyDescent="0.25">
      <c r="A3" s="2">
        <v>2</v>
      </c>
      <c r="B3" t="s">
        <v>97</v>
      </c>
      <c r="C3" s="1">
        <v>2020</v>
      </c>
      <c r="D3">
        <v>5</v>
      </c>
      <c r="E3">
        <v>5.1566453999999998E-2</v>
      </c>
      <c r="F3" s="2">
        <v>291</v>
      </c>
      <c r="G3" s="2" t="str">
        <f>VLOOKUP(F3,'Master(Ko Xóa)'!$F$2:$H$158,3,0)</f>
        <v>Out</v>
      </c>
      <c r="H3" s="3" t="s">
        <v>14</v>
      </c>
      <c r="I3" t="s">
        <v>7</v>
      </c>
      <c r="J3" t="s">
        <v>15</v>
      </c>
      <c r="L3" t="s">
        <v>101</v>
      </c>
      <c r="M3" t="s">
        <v>102</v>
      </c>
      <c r="N3" t="s">
        <v>103</v>
      </c>
    </row>
    <row r="4" spans="1:14" x14ac:dyDescent="0.25">
      <c r="A4" s="2">
        <v>2</v>
      </c>
      <c r="B4" t="s">
        <v>98</v>
      </c>
      <c r="C4" s="1">
        <v>2020</v>
      </c>
      <c r="D4">
        <v>5</v>
      </c>
      <c r="E4">
        <v>5.1566453999999998E-2</v>
      </c>
      <c r="F4" s="2">
        <v>291</v>
      </c>
      <c r="G4" s="2" t="str">
        <f>VLOOKUP(F4,'Master(Ko Xóa)'!$F$2:$H$158,3,0)</f>
        <v>Out</v>
      </c>
      <c r="H4" s="3" t="s">
        <v>14</v>
      </c>
      <c r="I4" t="s">
        <v>7</v>
      </c>
      <c r="J4" t="s">
        <v>15</v>
      </c>
      <c r="L4" t="s">
        <v>101</v>
      </c>
      <c r="M4" t="s">
        <v>102</v>
      </c>
      <c r="N4" t="s">
        <v>103</v>
      </c>
    </row>
    <row r="5" spans="1:14" x14ac:dyDescent="0.25">
      <c r="A5" s="2">
        <v>2</v>
      </c>
      <c r="B5" t="s">
        <v>99</v>
      </c>
      <c r="C5" s="1">
        <v>2020</v>
      </c>
      <c r="D5">
        <v>5</v>
      </c>
      <c r="E5">
        <v>5.1566453999999998E-2</v>
      </c>
      <c r="F5" s="2">
        <v>291</v>
      </c>
      <c r="G5" s="2" t="str">
        <f>VLOOKUP(F5,'Master(Ko Xóa)'!$F$2:$H$158,3,0)</f>
        <v>Out</v>
      </c>
      <c r="H5" s="3" t="s">
        <v>14</v>
      </c>
      <c r="I5" t="s">
        <v>7</v>
      </c>
      <c r="J5" t="s">
        <v>15</v>
      </c>
      <c r="L5" t="s">
        <v>101</v>
      </c>
      <c r="M5" t="s">
        <v>102</v>
      </c>
      <c r="N5" t="s">
        <v>103</v>
      </c>
    </row>
    <row r="6" spans="1:14" x14ac:dyDescent="0.25">
      <c r="A6" s="2">
        <v>2</v>
      </c>
      <c r="B6" t="s">
        <v>100</v>
      </c>
      <c r="C6" s="1">
        <v>2020</v>
      </c>
      <c r="D6">
        <v>5</v>
      </c>
      <c r="E6">
        <v>5.1566453999999998E-2</v>
      </c>
      <c r="F6" s="2">
        <v>291</v>
      </c>
      <c r="G6" s="2" t="str">
        <f>VLOOKUP(F6,'Master(Ko Xóa)'!$F$2:$H$158,3,0)</f>
        <v>Out</v>
      </c>
      <c r="H6" s="3" t="s">
        <v>14</v>
      </c>
      <c r="I6" t="s">
        <v>7</v>
      </c>
      <c r="J6" t="s">
        <v>15</v>
      </c>
      <c r="L6" t="s">
        <v>101</v>
      </c>
      <c r="M6" t="s">
        <v>102</v>
      </c>
      <c r="N6" t="s">
        <v>103</v>
      </c>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'Master(Ko Xóa)'!$O$2:$O$3</xm:f>
          </x14:formula1>
          <xm:sqref>F2:F6</xm:sqref>
        </x14:dataValidation>
        <x14:dataValidation type="list" allowBlank="1" showInputMessage="1" showErrorMessage="1">
          <x14:formula1>
            <xm:f>'Master(Ko Xóa)'!$A$2:$A$25</xm:f>
          </x14:formula1>
          <xm:sqref>A2:A6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18</v>
      </c>
      <c r="D1" t="s">
        <v>18</v>
      </c>
      <c r="E1" t="s">
        <v>19</v>
      </c>
      <c r="G1" t="s">
        <v>20</v>
      </c>
      <c r="H1" t="s">
        <v>21</v>
      </c>
    </row>
    <row r="2" spans="1:15" x14ac:dyDescent="0.25">
      <c r="A2">
        <v>1</v>
      </c>
      <c r="D2">
        <v>1</v>
      </c>
      <c r="E2" t="s">
        <v>22</v>
      </c>
      <c r="F2">
        <v>201</v>
      </c>
      <c r="G2" t="s">
        <v>23</v>
      </c>
      <c r="H2" t="s">
        <v>24</v>
      </c>
      <c r="K2">
        <f>F2</f>
        <v>201</v>
      </c>
      <c r="N2" t="s">
        <v>19</v>
      </c>
      <c r="O2">
        <f>VLOOKUP(Sheet1!A2,'Master(Ko Xóa)'!$D$2:$K$158,8,0)</f>
        <v>291</v>
      </c>
    </row>
    <row r="3" spans="1:15" x14ac:dyDescent="0.25">
      <c r="A3">
        <v>2</v>
      </c>
      <c r="D3">
        <v>1</v>
      </c>
      <c r="E3" t="s">
        <v>25</v>
      </c>
      <c r="F3">
        <v>202</v>
      </c>
      <c r="G3" t="s">
        <v>23</v>
      </c>
      <c r="H3" t="s">
        <v>13</v>
      </c>
      <c r="I3">
        <f>D3</f>
        <v>1</v>
      </c>
      <c r="J3">
        <f>F3</f>
        <v>202</v>
      </c>
      <c r="O3">
        <f>VLOOKUP(Sheet1!A2,'Master(Ko Xóa)'!$I$3:$J$147,2,0)</f>
        <v>292</v>
      </c>
    </row>
    <row r="4" spans="1:15" x14ac:dyDescent="0.25">
      <c r="A4">
        <v>3</v>
      </c>
      <c r="D4">
        <v>2</v>
      </c>
      <c r="E4" t="s">
        <v>26</v>
      </c>
      <c r="F4">
        <v>291</v>
      </c>
      <c r="G4" t="s">
        <v>27</v>
      </c>
      <c r="H4" t="s">
        <v>24</v>
      </c>
      <c r="K4">
        <f>F4</f>
        <v>291</v>
      </c>
    </row>
    <row r="5" spans="1:15" x14ac:dyDescent="0.25">
      <c r="A5">
        <v>4</v>
      </c>
      <c r="D5">
        <v>2</v>
      </c>
      <c r="E5" t="s">
        <v>28</v>
      </c>
      <c r="F5">
        <v>292</v>
      </c>
      <c r="G5" t="s">
        <v>27</v>
      </c>
      <c r="H5" t="s">
        <v>13</v>
      </c>
      <c r="I5">
        <f>D5</f>
        <v>2</v>
      </c>
      <c r="J5">
        <f>F5</f>
        <v>292</v>
      </c>
    </row>
    <row r="6" spans="1:15" x14ac:dyDescent="0.25">
      <c r="A6">
        <v>5</v>
      </c>
      <c r="D6">
        <v>3</v>
      </c>
      <c r="E6" t="s">
        <v>29</v>
      </c>
      <c r="F6">
        <v>201</v>
      </c>
      <c r="G6" t="s">
        <v>30</v>
      </c>
      <c r="H6" t="s">
        <v>24</v>
      </c>
      <c r="K6">
        <f>F6</f>
        <v>201</v>
      </c>
    </row>
    <row r="7" spans="1:15" x14ac:dyDescent="0.25">
      <c r="A7">
        <v>6</v>
      </c>
      <c r="D7">
        <v>3</v>
      </c>
      <c r="E7" t="s">
        <v>31</v>
      </c>
      <c r="F7">
        <v>202</v>
      </c>
      <c r="G7" t="s">
        <v>30</v>
      </c>
      <c r="H7" t="s">
        <v>13</v>
      </c>
      <c r="I7">
        <f>D7</f>
        <v>3</v>
      </c>
      <c r="J7">
        <f>F7</f>
        <v>202</v>
      </c>
    </row>
    <row r="8" spans="1:15" x14ac:dyDescent="0.25">
      <c r="A8">
        <v>7</v>
      </c>
      <c r="D8">
        <v>4</v>
      </c>
      <c r="E8" t="s">
        <v>32</v>
      </c>
      <c r="F8">
        <v>201</v>
      </c>
      <c r="G8" t="s">
        <v>33</v>
      </c>
      <c r="H8" t="s">
        <v>24</v>
      </c>
      <c r="K8">
        <f>F8</f>
        <v>201</v>
      </c>
    </row>
    <row r="9" spans="1:15" x14ac:dyDescent="0.25">
      <c r="A9">
        <v>8</v>
      </c>
      <c r="D9">
        <v>4</v>
      </c>
      <c r="E9" t="s">
        <v>34</v>
      </c>
      <c r="F9">
        <v>202</v>
      </c>
      <c r="G9" t="s">
        <v>33</v>
      </c>
      <c r="H9" t="s">
        <v>13</v>
      </c>
      <c r="I9">
        <f>D9</f>
        <v>4</v>
      </c>
      <c r="J9">
        <f>F9</f>
        <v>202</v>
      </c>
    </row>
    <row r="10" spans="1:15" x14ac:dyDescent="0.25">
      <c r="A10">
        <v>9</v>
      </c>
      <c r="D10">
        <v>5</v>
      </c>
      <c r="E10" t="s">
        <v>35</v>
      </c>
      <c r="F10" t="s">
        <v>36</v>
      </c>
      <c r="G10" t="s">
        <v>37</v>
      </c>
      <c r="H10" t="s">
        <v>24</v>
      </c>
      <c r="K10" t="str">
        <f>F10</f>
        <v>mpa</v>
      </c>
    </row>
    <row r="11" spans="1:15" x14ac:dyDescent="0.25">
      <c r="A11">
        <v>10</v>
      </c>
      <c r="D11">
        <v>5</v>
      </c>
      <c r="E11" t="s">
        <v>35</v>
      </c>
      <c r="F11" t="s">
        <v>36</v>
      </c>
      <c r="G11" t="s">
        <v>37</v>
      </c>
      <c r="H11" t="s">
        <v>13</v>
      </c>
      <c r="I11">
        <f>D11</f>
        <v>5</v>
      </c>
      <c r="J11" t="str">
        <f>F11</f>
        <v>mpa</v>
      </c>
    </row>
    <row r="12" spans="1:15" x14ac:dyDescent="0.25">
      <c r="A12">
        <v>11</v>
      </c>
      <c r="D12">
        <v>6</v>
      </c>
      <c r="E12" t="s">
        <v>38</v>
      </c>
      <c r="F12">
        <v>551</v>
      </c>
      <c r="G12" t="s">
        <v>39</v>
      </c>
      <c r="H12" t="s">
        <v>24</v>
      </c>
      <c r="K12">
        <f>F12</f>
        <v>551</v>
      </c>
    </row>
    <row r="13" spans="1:15" x14ac:dyDescent="0.25">
      <c r="A13">
        <v>12</v>
      </c>
      <c r="D13">
        <v>6</v>
      </c>
      <c r="E13" t="s">
        <v>40</v>
      </c>
      <c r="F13">
        <v>552</v>
      </c>
      <c r="G13" t="s">
        <v>39</v>
      </c>
      <c r="H13" t="s">
        <v>13</v>
      </c>
      <c r="I13">
        <f>D13</f>
        <v>6</v>
      </c>
      <c r="J13">
        <f>F13</f>
        <v>552</v>
      </c>
    </row>
    <row r="14" spans="1:15" x14ac:dyDescent="0.25">
      <c r="A14">
        <v>13</v>
      </c>
      <c r="D14">
        <v>7</v>
      </c>
      <c r="E14" t="s">
        <v>41</v>
      </c>
      <c r="F14">
        <v>201</v>
      </c>
      <c r="G14" t="s">
        <v>42</v>
      </c>
      <c r="H14" t="s">
        <v>24</v>
      </c>
      <c r="K14">
        <f>F14</f>
        <v>201</v>
      </c>
    </row>
    <row r="15" spans="1:15" x14ac:dyDescent="0.25">
      <c r="A15">
        <v>14</v>
      </c>
      <c r="D15">
        <v>7</v>
      </c>
      <c r="E15" t="s">
        <v>43</v>
      </c>
      <c r="F15">
        <v>202</v>
      </c>
      <c r="G15" t="s">
        <v>42</v>
      </c>
      <c r="H15" t="s">
        <v>13</v>
      </c>
      <c r="I15">
        <f>D15</f>
        <v>7</v>
      </c>
      <c r="J15">
        <f>F15</f>
        <v>202</v>
      </c>
    </row>
    <row r="16" spans="1:15" x14ac:dyDescent="0.25">
      <c r="A16">
        <v>15</v>
      </c>
      <c r="D16">
        <v>8</v>
      </c>
      <c r="E16" t="s">
        <v>44</v>
      </c>
      <c r="F16">
        <v>201</v>
      </c>
      <c r="G16" t="s">
        <v>45</v>
      </c>
      <c r="H16" t="s">
        <v>24</v>
      </c>
      <c r="K16">
        <f>F16</f>
        <v>201</v>
      </c>
    </row>
    <row r="17" spans="1:11" x14ac:dyDescent="0.25">
      <c r="A17">
        <v>16</v>
      </c>
      <c r="D17">
        <v>8</v>
      </c>
      <c r="E17" t="s">
        <v>46</v>
      </c>
      <c r="F17">
        <v>202</v>
      </c>
      <c r="G17" t="s">
        <v>45</v>
      </c>
      <c r="H17" t="s">
        <v>13</v>
      </c>
      <c r="I17">
        <f>D17</f>
        <v>8</v>
      </c>
      <c r="J17">
        <f>F17</f>
        <v>202</v>
      </c>
    </row>
    <row r="18" spans="1:11" x14ac:dyDescent="0.25">
      <c r="A18">
        <v>17</v>
      </c>
      <c r="D18">
        <v>9</v>
      </c>
      <c r="E18" t="s">
        <v>47</v>
      </c>
      <c r="F18">
        <v>201</v>
      </c>
      <c r="G18" t="s">
        <v>48</v>
      </c>
      <c r="H18" t="s">
        <v>24</v>
      </c>
      <c r="K18">
        <f>F18</f>
        <v>201</v>
      </c>
    </row>
    <row r="19" spans="1:11" x14ac:dyDescent="0.25">
      <c r="A19">
        <v>18</v>
      </c>
      <c r="D19">
        <v>9</v>
      </c>
      <c r="E19" t="s">
        <v>49</v>
      </c>
      <c r="F19">
        <v>202</v>
      </c>
      <c r="G19" t="s">
        <v>48</v>
      </c>
      <c r="H19" t="s">
        <v>13</v>
      </c>
      <c r="I19">
        <f>D19</f>
        <v>9</v>
      </c>
      <c r="J19">
        <f>F19</f>
        <v>202</v>
      </c>
    </row>
    <row r="20" spans="1:11" x14ac:dyDescent="0.25">
      <c r="A20">
        <v>19</v>
      </c>
      <c r="D20">
        <v>10</v>
      </c>
      <c r="E20" t="s">
        <v>50</v>
      </c>
      <c r="F20">
        <v>201</v>
      </c>
      <c r="G20" t="s">
        <v>51</v>
      </c>
      <c r="H20" t="s">
        <v>24</v>
      </c>
      <c r="K20">
        <f>F20</f>
        <v>201</v>
      </c>
    </row>
    <row r="21" spans="1:11" x14ac:dyDescent="0.25">
      <c r="A21">
        <v>20</v>
      </c>
      <c r="D21">
        <v>10</v>
      </c>
      <c r="E21" t="s">
        <v>52</v>
      </c>
      <c r="F21">
        <v>202</v>
      </c>
      <c r="G21" t="s">
        <v>51</v>
      </c>
      <c r="H21" t="s">
        <v>13</v>
      </c>
      <c r="I21">
        <f>D21</f>
        <v>10</v>
      </c>
      <c r="J21">
        <f>F21</f>
        <v>202</v>
      </c>
    </row>
    <row r="22" spans="1:11" x14ac:dyDescent="0.25">
      <c r="A22">
        <v>21</v>
      </c>
      <c r="D22">
        <v>11</v>
      </c>
      <c r="E22" t="s">
        <v>53</v>
      </c>
      <c r="F22">
        <v>201</v>
      </c>
      <c r="G22" t="s">
        <v>54</v>
      </c>
      <c r="H22" t="s">
        <v>24</v>
      </c>
      <c r="K22">
        <f>F22</f>
        <v>201</v>
      </c>
    </row>
    <row r="23" spans="1:11" x14ac:dyDescent="0.25">
      <c r="A23">
        <v>22</v>
      </c>
      <c r="D23">
        <v>11</v>
      </c>
      <c r="E23" t="s">
        <v>55</v>
      </c>
      <c r="F23">
        <v>202</v>
      </c>
      <c r="G23" t="s">
        <v>54</v>
      </c>
      <c r="H23" t="s">
        <v>13</v>
      </c>
      <c r="I23">
        <f>D23</f>
        <v>11</v>
      </c>
      <c r="J23">
        <f>F23</f>
        <v>202</v>
      </c>
    </row>
    <row r="24" spans="1:11" x14ac:dyDescent="0.25">
      <c r="A24">
        <v>23</v>
      </c>
      <c r="D24">
        <v>12</v>
      </c>
      <c r="E24" t="s">
        <v>56</v>
      </c>
      <c r="F24">
        <v>201</v>
      </c>
      <c r="G24" t="s">
        <v>57</v>
      </c>
      <c r="H24" t="s">
        <v>24</v>
      </c>
      <c r="K24">
        <f>F24</f>
        <v>201</v>
      </c>
    </row>
    <row r="25" spans="1:11" x14ac:dyDescent="0.25">
      <c r="A25">
        <v>25</v>
      </c>
      <c r="D25">
        <v>12</v>
      </c>
      <c r="E25" t="s">
        <v>58</v>
      </c>
      <c r="F25">
        <v>202</v>
      </c>
      <c r="G25" t="s">
        <v>57</v>
      </c>
      <c r="H25" t="s">
        <v>13</v>
      </c>
      <c r="I25">
        <f>D25</f>
        <v>12</v>
      </c>
      <c r="J25">
        <f>F25</f>
        <v>202</v>
      </c>
    </row>
    <row r="26" spans="1:11" x14ac:dyDescent="0.25">
      <c r="D26">
        <v>13</v>
      </c>
      <c r="E26" t="s">
        <v>59</v>
      </c>
      <c r="F26">
        <v>201</v>
      </c>
      <c r="G26" t="s">
        <v>60</v>
      </c>
      <c r="H26" t="s">
        <v>24</v>
      </c>
      <c r="K26">
        <f>F26</f>
        <v>201</v>
      </c>
    </row>
    <row r="27" spans="1:11" x14ac:dyDescent="0.25">
      <c r="D27">
        <v>13</v>
      </c>
      <c r="E27" t="s">
        <v>61</v>
      </c>
      <c r="F27">
        <v>202</v>
      </c>
      <c r="G27" t="s">
        <v>60</v>
      </c>
      <c r="H27" t="s">
        <v>13</v>
      </c>
      <c r="I27">
        <f>D27</f>
        <v>13</v>
      </c>
      <c r="J27">
        <f>F27</f>
        <v>202</v>
      </c>
    </row>
    <row r="28" spans="1:11" x14ac:dyDescent="0.25">
      <c r="D28">
        <v>14</v>
      </c>
      <c r="E28" t="s">
        <v>62</v>
      </c>
      <c r="F28">
        <v>201</v>
      </c>
      <c r="G28" t="s">
        <v>63</v>
      </c>
      <c r="H28" t="s">
        <v>24</v>
      </c>
      <c r="K28">
        <f>F28</f>
        <v>201</v>
      </c>
    </row>
    <row r="29" spans="1:11" x14ac:dyDescent="0.25">
      <c r="D29">
        <v>14</v>
      </c>
      <c r="E29" t="s">
        <v>64</v>
      </c>
      <c r="F29">
        <v>202</v>
      </c>
      <c r="G29" t="s">
        <v>63</v>
      </c>
      <c r="H29" t="s">
        <v>13</v>
      </c>
      <c r="I29">
        <f>D29</f>
        <v>14</v>
      </c>
      <c r="J29">
        <f>F29</f>
        <v>202</v>
      </c>
    </row>
    <row r="30" spans="1:11" x14ac:dyDescent="0.25">
      <c r="D30">
        <v>15</v>
      </c>
      <c r="E30" t="s">
        <v>65</v>
      </c>
      <c r="F30">
        <v>201</v>
      </c>
      <c r="G30" t="s">
        <v>66</v>
      </c>
      <c r="H30" t="s">
        <v>24</v>
      </c>
      <c r="K30">
        <f>F30</f>
        <v>201</v>
      </c>
    </row>
    <row r="31" spans="1:11" x14ac:dyDescent="0.25">
      <c r="D31">
        <v>15</v>
      </c>
      <c r="E31" t="s">
        <v>67</v>
      </c>
      <c r="F31">
        <v>202</v>
      </c>
      <c r="G31" t="s">
        <v>66</v>
      </c>
      <c r="H31" t="s">
        <v>13</v>
      </c>
      <c r="I31">
        <f>D31</f>
        <v>15</v>
      </c>
      <c r="J31">
        <f>F31</f>
        <v>202</v>
      </c>
    </row>
    <row r="32" spans="1:11" x14ac:dyDescent="0.25">
      <c r="D32">
        <v>16</v>
      </c>
      <c r="E32" t="s">
        <v>68</v>
      </c>
      <c r="F32">
        <v>201</v>
      </c>
      <c r="G32" t="s">
        <v>69</v>
      </c>
      <c r="H32" t="s">
        <v>24</v>
      </c>
      <c r="K32">
        <f>F32</f>
        <v>201</v>
      </c>
    </row>
    <row r="33" spans="4:11" x14ac:dyDescent="0.25">
      <c r="D33">
        <v>16</v>
      </c>
      <c r="E33" t="s">
        <v>70</v>
      </c>
      <c r="F33">
        <v>202</v>
      </c>
      <c r="G33" t="s">
        <v>69</v>
      </c>
      <c r="H33" t="s">
        <v>13</v>
      </c>
      <c r="I33">
        <f>D33</f>
        <v>16</v>
      </c>
      <c r="J33">
        <f>F33</f>
        <v>202</v>
      </c>
    </row>
    <row r="34" spans="4:11" x14ac:dyDescent="0.25">
      <c r="D34">
        <v>16</v>
      </c>
      <c r="E34" t="s">
        <v>71</v>
      </c>
      <c r="F34">
        <v>201</v>
      </c>
      <c r="G34" t="s">
        <v>69</v>
      </c>
      <c r="H34" t="s">
        <v>24</v>
      </c>
      <c r="K34">
        <f>F34</f>
        <v>201</v>
      </c>
    </row>
    <row r="35" spans="4:11" x14ac:dyDescent="0.25">
      <c r="D35">
        <v>17</v>
      </c>
      <c r="E35" t="s">
        <v>72</v>
      </c>
      <c r="F35">
        <v>701</v>
      </c>
      <c r="G35" t="s">
        <v>73</v>
      </c>
      <c r="H35" t="s">
        <v>13</v>
      </c>
      <c r="I35">
        <f>D35</f>
        <v>17</v>
      </c>
      <c r="J35">
        <f>F35</f>
        <v>701</v>
      </c>
    </row>
    <row r="36" spans="4:11" x14ac:dyDescent="0.25">
      <c r="D36">
        <v>17</v>
      </c>
      <c r="E36" t="s">
        <v>74</v>
      </c>
      <c r="F36">
        <v>702</v>
      </c>
      <c r="G36" t="s">
        <v>73</v>
      </c>
      <c r="H36" t="s">
        <v>24</v>
      </c>
      <c r="K36">
        <f>F36</f>
        <v>702</v>
      </c>
    </row>
    <row r="37" spans="4:11" x14ac:dyDescent="0.25">
      <c r="D37">
        <v>18</v>
      </c>
      <c r="E37" t="s">
        <v>75</v>
      </c>
      <c r="F37">
        <v>701</v>
      </c>
      <c r="G37" t="s">
        <v>76</v>
      </c>
      <c r="H37" t="s">
        <v>13</v>
      </c>
      <c r="I37">
        <f>D37</f>
        <v>18</v>
      </c>
      <c r="J37">
        <f>F37</f>
        <v>701</v>
      </c>
    </row>
    <row r="38" spans="4:11" x14ac:dyDescent="0.25">
      <c r="D38">
        <v>18</v>
      </c>
      <c r="E38" t="s">
        <v>77</v>
      </c>
      <c r="F38">
        <v>702</v>
      </c>
      <c r="G38" t="s">
        <v>76</v>
      </c>
      <c r="H38" t="s">
        <v>24</v>
      </c>
      <c r="K38">
        <f t="shared" ref="K38:K39" si="0">F38</f>
        <v>702</v>
      </c>
    </row>
    <row r="39" spans="4:11" x14ac:dyDescent="0.25">
      <c r="D39">
        <v>19</v>
      </c>
      <c r="E39" t="s">
        <v>78</v>
      </c>
      <c r="F39">
        <v>555</v>
      </c>
      <c r="G39" t="s">
        <v>79</v>
      </c>
      <c r="H39" t="s">
        <v>24</v>
      </c>
      <c r="K39">
        <f t="shared" si="0"/>
        <v>555</v>
      </c>
    </row>
    <row r="40" spans="4:11" x14ac:dyDescent="0.25">
      <c r="D40">
        <v>19</v>
      </c>
      <c r="E40" t="s">
        <v>80</v>
      </c>
      <c r="F40">
        <v>556</v>
      </c>
      <c r="G40" t="s">
        <v>79</v>
      </c>
      <c r="H40" t="s">
        <v>13</v>
      </c>
      <c r="I40">
        <f>D40</f>
        <v>19</v>
      </c>
      <c r="J40">
        <f>F40</f>
        <v>556</v>
      </c>
    </row>
    <row r="41" spans="4:11" x14ac:dyDescent="0.25">
      <c r="D41">
        <v>20</v>
      </c>
      <c r="E41" t="s">
        <v>81</v>
      </c>
      <c r="F41">
        <v>555</v>
      </c>
      <c r="G41" t="s">
        <v>82</v>
      </c>
      <c r="H41" t="s">
        <v>24</v>
      </c>
      <c r="K41">
        <f>F41</f>
        <v>555</v>
      </c>
    </row>
    <row r="42" spans="4:11" x14ac:dyDescent="0.25">
      <c r="D42">
        <v>20</v>
      </c>
      <c r="E42" t="s">
        <v>83</v>
      </c>
      <c r="F42">
        <v>556</v>
      </c>
      <c r="G42" t="s">
        <v>82</v>
      </c>
      <c r="H42" t="s">
        <v>13</v>
      </c>
      <c r="I42">
        <f>D42</f>
        <v>20</v>
      </c>
      <c r="J42">
        <f>F42</f>
        <v>556</v>
      </c>
    </row>
    <row r="43" spans="4:11" x14ac:dyDescent="0.25">
      <c r="D43">
        <v>21</v>
      </c>
      <c r="E43" t="s">
        <v>84</v>
      </c>
      <c r="F43">
        <v>201</v>
      </c>
      <c r="G43" t="s">
        <v>85</v>
      </c>
      <c r="H43" t="s">
        <v>24</v>
      </c>
      <c r="K43">
        <f>F43</f>
        <v>201</v>
      </c>
    </row>
    <row r="44" spans="4:11" x14ac:dyDescent="0.25">
      <c r="D44">
        <v>21</v>
      </c>
      <c r="E44" t="s">
        <v>86</v>
      </c>
      <c r="F44">
        <v>202</v>
      </c>
      <c r="G44" t="s">
        <v>85</v>
      </c>
      <c r="H44" t="s">
        <v>13</v>
      </c>
      <c r="I44">
        <f>D44</f>
        <v>21</v>
      </c>
      <c r="J44">
        <f>F44</f>
        <v>202</v>
      </c>
    </row>
    <row r="45" spans="4:11" x14ac:dyDescent="0.25">
      <c r="D45">
        <v>22</v>
      </c>
      <c r="E45" t="s">
        <v>87</v>
      </c>
      <c r="F45">
        <v>201</v>
      </c>
      <c r="G45" t="s">
        <v>88</v>
      </c>
      <c r="H45" t="s">
        <v>24</v>
      </c>
      <c r="K45">
        <f>F45</f>
        <v>201</v>
      </c>
    </row>
    <row r="46" spans="4:11" x14ac:dyDescent="0.25">
      <c r="D46">
        <v>22</v>
      </c>
      <c r="E46" t="s">
        <v>89</v>
      </c>
      <c r="F46">
        <v>202</v>
      </c>
      <c r="G46" t="s">
        <v>88</v>
      </c>
      <c r="H46" t="s">
        <v>13</v>
      </c>
      <c r="I46">
        <f>D46</f>
        <v>22</v>
      </c>
      <c r="J46">
        <f>F46</f>
        <v>202</v>
      </c>
    </row>
    <row r="47" spans="4:11" x14ac:dyDescent="0.25">
      <c r="D47">
        <v>23</v>
      </c>
      <c r="E47" t="s">
        <v>90</v>
      </c>
      <c r="F47">
        <v>201</v>
      </c>
      <c r="G47" t="s">
        <v>91</v>
      </c>
      <c r="H47" t="s">
        <v>24</v>
      </c>
      <c r="K47">
        <f>F47</f>
        <v>201</v>
      </c>
    </row>
    <row r="48" spans="4:11" x14ac:dyDescent="0.25">
      <c r="D48">
        <v>23</v>
      </c>
      <c r="E48" t="s">
        <v>92</v>
      </c>
      <c r="F48">
        <v>202</v>
      </c>
      <c r="G48" t="s">
        <v>91</v>
      </c>
      <c r="H48" t="s">
        <v>13</v>
      </c>
      <c r="I48">
        <f>D48</f>
        <v>23</v>
      </c>
      <c r="J48">
        <f>F48</f>
        <v>202</v>
      </c>
    </row>
    <row r="49" spans="4:11" x14ac:dyDescent="0.25">
      <c r="D49">
        <v>25</v>
      </c>
      <c r="E49" t="s">
        <v>93</v>
      </c>
      <c r="F49">
        <v>559</v>
      </c>
      <c r="G49" t="s">
        <v>94</v>
      </c>
      <c r="H49" t="s">
        <v>24</v>
      </c>
      <c r="K49">
        <f>F49</f>
        <v>559</v>
      </c>
    </row>
    <row r="50" spans="4:11" x14ac:dyDescent="0.25">
      <c r="D50">
        <v>25</v>
      </c>
      <c r="E50" t="s">
        <v>95</v>
      </c>
      <c r="F50">
        <v>560</v>
      </c>
      <c r="G50" t="s">
        <v>94</v>
      </c>
      <c r="H50" t="s">
        <v>13</v>
      </c>
      <c r="I50">
        <f>D50</f>
        <v>25</v>
      </c>
      <c r="J50">
        <f>F50</f>
        <v>560</v>
      </c>
    </row>
  </sheetData>
  <autoFilter ref="A1:H5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NGUYEN THI_Dao</cp:lastModifiedBy>
  <dcterms:created xsi:type="dcterms:W3CDTF">2021-07-20T07:38:07Z</dcterms:created>
  <dcterms:modified xsi:type="dcterms:W3CDTF">2022-07-26T02:52:13Z</dcterms:modified>
</cp:coreProperties>
</file>