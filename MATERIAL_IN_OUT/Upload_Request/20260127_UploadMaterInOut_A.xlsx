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G:\QC\02 PQC\3. RoHS\12. Issue out\"/>
    </mc:Choice>
  </mc:AlternateContent>
  <xr:revisionPtr revIDLastSave="0" documentId="13_ncr:1_{D35114E3-759A-48C6-8509-7D9386CED127}" xr6:coauthVersionLast="47" xr6:coauthVersionMax="47" xr10:uidLastSave="{00000000-0000-0000-0000-000000000000}"/>
  <bookViews>
    <workbookView xWindow="-110" yWindow="-110" windowWidth="19420" windowHeight="1030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2" i="1" l="1"/>
  <c r="K49" i="2"/>
  <c r="K47" i="2"/>
  <c r="K45" i="2"/>
  <c r="K43" i="2"/>
  <c r="K41" i="2"/>
  <c r="K39" i="2"/>
  <c r="K38" i="2"/>
  <c r="K36" i="2"/>
  <c r="K34" i="2"/>
  <c r="K32" i="2"/>
  <c r="K30" i="2"/>
  <c r="K28" i="2"/>
  <c r="K26" i="2"/>
  <c r="K24" i="2"/>
  <c r="K22" i="2"/>
  <c r="K20" i="2"/>
  <c r="K18" i="2"/>
  <c r="O2" i="2" s="1"/>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O3" i="2" s="1"/>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s>
  <commentList>
    <comment ref="A1" authorId="0" shapeId="0" xr:uid="{00000000-0006-0000-0000-000001000000}">
      <text>
        <r>
          <rPr>
            <sz val="9"/>
            <color indexed="81"/>
            <rFont val="Tahoma"/>
            <family val="2"/>
          </rPr>
          <t xml:space="preserve">B1: Chọn TypeRQ theo droplist.
B2:Ctrl +D copy tớ dòng tiếp theo
</t>
        </r>
      </text>
    </comment>
    <comment ref="N1" authorId="0" shapeId="0" xr:uid="{00000000-0006-0000-0000-000002000000}">
      <text>
        <r>
          <rPr>
            <sz val="9"/>
            <color indexed="81"/>
            <rFont val="Tahoma"/>
            <family val="2"/>
          </rPr>
          <t xml:space="preserve">Input RQ cần RQ Reset
</t>
        </r>
      </text>
    </comment>
    <comment ref="F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<sst xmlns="http://schemas.openxmlformats.org/spreadsheetml/2006/main" count="3235" uniqueCount="1117">
  <si>
    <t>Sloc</t>
  </si>
  <si>
    <t>Material</t>
  </si>
  <si>
    <t>TypeRQ</t>
  </si>
  <si>
    <t>Mvtype</t>
  </si>
  <si>
    <t>Plant</t>
  </si>
  <si>
    <t>CostCenter</t>
  </si>
  <si>
    <t>Qty</t>
  </si>
  <si>
    <t>VendorCode</t>
  </si>
  <si>
    <t>Note</t>
  </si>
  <si>
    <t>ActualPrice</t>
  </si>
  <si>
    <t>MVContent</t>
  </si>
  <si>
    <t>RQ_Reset</t>
  </si>
  <si>
    <t>In</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</si>
  <si>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</si>
  <si>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</si>
  <si>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</si>
  <si>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</si>
  <si>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</si>
  <si>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</si>
  <si>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</si>
  <si>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</si>
  <si>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</si>
  <si>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</si>
  <si>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</si>
  <si>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</si>
  <si>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</si>
  <si>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</si>
  <si>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</si>
  <si>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</si>
  <si>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</si>
  <si>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</si>
  <si>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</si>
  <si>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</si>
  <si>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</si>
  <si>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</si>
  <si>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</si>
  <si>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</si>
  <si>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</si>
  <si>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</si>
  <si>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</si>
  <si>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</si>
  <si>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</si>
  <si>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</si>
  <si>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</si>
  <si>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</si>
  <si>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</si>
  <si>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</si>
  <si>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</si>
  <si>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</si>
  <si>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</si>
  <si>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</si>
  <si>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</si>
  <si>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</si>
  <si>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</si>
  <si>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</si>
  <si>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</si>
  <si>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</si>
  <si>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</si>
  <si>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</si>
  <si>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</si>
  <si>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</si>
  <si>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</si>
  <si>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</si>
  <si>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</si>
  <si>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</si>
  <si>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</si>
  <si>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</si>
  <si>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</si>
  <si>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</si>
  <si>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</si>
  <si>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</si>
  <si>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</si>
  <si>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</si>
  <si>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</si>
  <si>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</si>
  <si>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</si>
  <si>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</si>
  <si>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</si>
  <si>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</si>
  <si>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</si>
  <si>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</si>
  <si>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</si>
  <si>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</si>
  <si>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</si>
  <si>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</si>
  <si>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</si>
  <si>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</si>
  <si>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</si>
  <si>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</si>
  <si>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</si>
  <si>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</si>
  <si>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</si>
  <si>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</si>
  <si>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</si>
  <si>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</si>
  <si>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</si>
  <si>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</si>
  <si>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A030A-3J00</t>
  </si>
  <si>
    <t>A030E-3J00</t>
  </si>
  <si>
    <t>A030E-3J10</t>
  </si>
  <si>
    <t>A030F-3J00</t>
  </si>
  <si>
    <t>A030F-3K20</t>
  </si>
  <si>
    <t>A031H3G80AP</t>
  </si>
  <si>
    <t>A05248K01CP</t>
  </si>
  <si>
    <t>A0601-3E21</t>
  </si>
  <si>
    <t>A06013702BP</t>
  </si>
  <si>
    <t>A2011-3B20</t>
  </si>
  <si>
    <t>A2040-3G60</t>
  </si>
  <si>
    <t>A3146-3J00</t>
  </si>
  <si>
    <t>A401A3G80BP</t>
  </si>
  <si>
    <t>A401A3J90BP</t>
  </si>
  <si>
    <t>A40923030GP</t>
  </si>
  <si>
    <t>A50953A40BP</t>
  </si>
  <si>
    <t>A621A7600CP</t>
  </si>
  <si>
    <t>A6407-3G61</t>
  </si>
  <si>
    <t>A6414-3K21</t>
  </si>
  <si>
    <t>A6577-3J01</t>
  </si>
  <si>
    <t>A6595-3G60</t>
  </si>
  <si>
    <t>A800D3G02EU</t>
  </si>
  <si>
    <t>A900C3E83AP</t>
  </si>
  <si>
    <t>A900C3J92BP</t>
  </si>
  <si>
    <t>ANE06018U0AP</t>
  </si>
  <si>
    <t>ANE6142-F61</t>
  </si>
  <si>
    <t>ANE61784L0AG</t>
  </si>
  <si>
    <t>ANE62648Y1BP</t>
  </si>
  <si>
    <t>B0AADM000006</t>
  </si>
  <si>
    <t>B0BA012A0519</t>
  </si>
  <si>
    <t>B0BC011A0379</t>
  </si>
  <si>
    <t>B0BC012A0379</t>
  </si>
  <si>
    <t>B0BC5R6A0380</t>
  </si>
  <si>
    <t>B0BC5R6A0687</t>
  </si>
  <si>
    <t>B0BC6R2A0266</t>
  </si>
  <si>
    <t>B0ECKT000024</t>
  </si>
  <si>
    <t>B0HAMT000018</t>
  </si>
  <si>
    <t>B0JCGD000022</t>
  </si>
  <si>
    <t>B0JCRL000024</t>
  </si>
  <si>
    <t>B1ABML000022</t>
  </si>
  <si>
    <t>B1CDQD000002</t>
  </si>
  <si>
    <t>B1GBCFNN0004</t>
  </si>
  <si>
    <t>B1LAZ0000038</t>
  </si>
  <si>
    <t>B3PAA0000584</t>
  </si>
  <si>
    <t>C0DAGYY00154</t>
  </si>
  <si>
    <t>C0DBBYY00217</t>
  </si>
  <si>
    <t>D0AF330JA072</t>
  </si>
  <si>
    <t>D0D2100JA083</t>
  </si>
  <si>
    <t>D0GB2R2JA084</t>
  </si>
  <si>
    <t>D1BB2203A143</t>
  </si>
  <si>
    <t>D4EAY621A367</t>
  </si>
  <si>
    <t>D4EAY911A367</t>
  </si>
  <si>
    <t>F030A3E80AP</t>
  </si>
  <si>
    <t>F030A3J91BP</t>
  </si>
  <si>
    <t>F030A8K10AP</t>
  </si>
  <si>
    <t>F030ABS90BP</t>
  </si>
  <si>
    <t>F030ACE70CP</t>
  </si>
  <si>
    <t>F030F9J90BP</t>
  </si>
  <si>
    <t>F03538K00AP</t>
  </si>
  <si>
    <t>F0CAF335A319</t>
  </si>
  <si>
    <t>F1A3A101A078</t>
  </si>
  <si>
    <t>F1BZZ1020004</t>
  </si>
  <si>
    <t>F1BZZ3320001</t>
  </si>
  <si>
    <t>F1H1C104A107</t>
  </si>
  <si>
    <t>F1L1A104A090</t>
  </si>
  <si>
    <t>F1L1E104A204</t>
  </si>
  <si>
    <t>F1L1H100A201</t>
  </si>
  <si>
    <t>F2A1C4710139</t>
  </si>
  <si>
    <t>F2A1E2200051</t>
  </si>
  <si>
    <t>F2A1V102B065</t>
  </si>
  <si>
    <t>F2A2W1000026</t>
  </si>
  <si>
    <t>F2A2W2200046</t>
  </si>
  <si>
    <t>F3085CL03AXP</t>
  </si>
  <si>
    <t>F606Y-3J00A</t>
  </si>
  <si>
    <t>F61448K02AP</t>
  </si>
  <si>
    <t>F61453E80AP</t>
  </si>
  <si>
    <t>F61454210AP</t>
  </si>
  <si>
    <t>F61456N61AP</t>
  </si>
  <si>
    <t>F61458K10AP</t>
  </si>
  <si>
    <t>F62603703AEU</t>
  </si>
  <si>
    <t>F8016CL00XP</t>
  </si>
  <si>
    <t>F900C8K02CP</t>
  </si>
  <si>
    <t>F90353040AP</t>
  </si>
  <si>
    <t>G0C191Z00006</t>
  </si>
  <si>
    <t>G4C2AAD00006</t>
  </si>
  <si>
    <t>G4DYA0001344</t>
  </si>
  <si>
    <t>H0003-3K20</t>
  </si>
  <si>
    <t>H00033J91BP</t>
  </si>
  <si>
    <t>H00038K32RU</t>
  </si>
  <si>
    <t>H00173J93BP</t>
  </si>
  <si>
    <t>H00338K02CP</t>
  </si>
  <si>
    <t>H0056-3501</t>
  </si>
  <si>
    <t>H01023E61AP</t>
  </si>
  <si>
    <t>H01023E81AP</t>
  </si>
  <si>
    <t>H01023G00EB</t>
  </si>
  <si>
    <t>H01023K60EP</t>
  </si>
  <si>
    <t>H01028K11SCP</t>
  </si>
  <si>
    <t>H01029J90BB</t>
  </si>
  <si>
    <t>H0105-3J00</t>
  </si>
  <si>
    <t>H01065201AP</t>
  </si>
  <si>
    <t>H01065H11AP</t>
  </si>
  <si>
    <t>H01068K01AP</t>
  </si>
  <si>
    <t>H01088K01AP</t>
  </si>
  <si>
    <t>H0116-3K60</t>
  </si>
  <si>
    <t>H0117-3G61</t>
  </si>
  <si>
    <t>H02623K20P9</t>
  </si>
  <si>
    <t>H03343140CP</t>
  </si>
  <si>
    <t>H03343E10P2</t>
  </si>
  <si>
    <t>H04203J91BP</t>
  </si>
  <si>
    <t>H04206P12CP</t>
  </si>
  <si>
    <t>H04273700BP</t>
  </si>
  <si>
    <t>H04273C00BP</t>
  </si>
  <si>
    <t>H04278U0AP</t>
  </si>
  <si>
    <t>H04283700BP</t>
  </si>
  <si>
    <t>H04288U0AP</t>
  </si>
  <si>
    <t>H0428BS70AP</t>
  </si>
  <si>
    <t>H04323700BP</t>
  </si>
  <si>
    <t>H04323C00BP</t>
  </si>
  <si>
    <t>H04328U0AP</t>
  </si>
  <si>
    <t>H05063J22P2</t>
  </si>
  <si>
    <t>H0563-9J90</t>
  </si>
  <si>
    <t>H05633J91BP</t>
  </si>
  <si>
    <t>H05643J91BP</t>
  </si>
  <si>
    <t>H0565-9J90</t>
  </si>
  <si>
    <t>H05653J90BP</t>
  </si>
  <si>
    <t>H05663J90BP</t>
  </si>
  <si>
    <t>H0602-3G90</t>
  </si>
  <si>
    <t>H0902000BD</t>
  </si>
  <si>
    <t>H0920000CD</t>
  </si>
  <si>
    <t>H0922000AJ</t>
  </si>
  <si>
    <t>H0922000CE</t>
  </si>
  <si>
    <t>H0923000AN</t>
  </si>
  <si>
    <t>H0961000CJ</t>
  </si>
  <si>
    <t>H0962000AP</t>
  </si>
  <si>
    <t>H0962000AT</t>
  </si>
  <si>
    <t>H1015-3G60</t>
  </si>
  <si>
    <t>H10498U0AP</t>
  </si>
  <si>
    <t>H1148-3G62</t>
  </si>
  <si>
    <t>H202D-3G80</t>
  </si>
  <si>
    <t>H202K3700BPA</t>
  </si>
  <si>
    <t>H21208U1AP</t>
  </si>
  <si>
    <t>H21683031GP</t>
  </si>
  <si>
    <t>H2312-3G90</t>
  </si>
  <si>
    <t>H30026P01AP</t>
  </si>
  <si>
    <t>H3007-3G62</t>
  </si>
  <si>
    <t>H3014-3G62</t>
  </si>
  <si>
    <t>H3015-3G62</t>
  </si>
  <si>
    <t>H3018-3851</t>
  </si>
  <si>
    <t>H3018CL01XP</t>
  </si>
  <si>
    <t>H3019-3851</t>
  </si>
  <si>
    <t>H3019CL01XP</t>
  </si>
  <si>
    <t>H301A3J90BP</t>
  </si>
  <si>
    <t>H301Q-3G62</t>
  </si>
  <si>
    <t>H3070-3G60</t>
  </si>
  <si>
    <t>H30703170GP</t>
  </si>
  <si>
    <t>H30706P00AP</t>
  </si>
  <si>
    <t>H3092-3G62</t>
  </si>
  <si>
    <t>H3181-3G92</t>
  </si>
  <si>
    <t>H31863J10P2</t>
  </si>
  <si>
    <t>H31863K60EP</t>
  </si>
  <si>
    <t>H31863K80KP</t>
  </si>
  <si>
    <t>H32303K20BP</t>
  </si>
  <si>
    <t>H32628U0AP</t>
  </si>
  <si>
    <t>H3379-3G61</t>
  </si>
  <si>
    <t>H41445540AP</t>
  </si>
  <si>
    <t>H4224-3G60</t>
  </si>
  <si>
    <t>H50493E81CP</t>
  </si>
  <si>
    <t>H6040-3E10</t>
  </si>
  <si>
    <t>H60708K30BP</t>
  </si>
  <si>
    <t>H61643030GP</t>
  </si>
  <si>
    <t>H6260-3K21</t>
  </si>
  <si>
    <t>H62603K21BP</t>
  </si>
  <si>
    <t>H62606P01AP</t>
  </si>
  <si>
    <t>H64453F90MP</t>
  </si>
  <si>
    <t>H6555-3K21</t>
  </si>
  <si>
    <t>H66623171GP</t>
  </si>
  <si>
    <t>H81263G02EU</t>
  </si>
  <si>
    <t>H82848K30BP</t>
  </si>
  <si>
    <t>H90096P01AP</t>
  </si>
  <si>
    <t>J2011-3B20</t>
  </si>
  <si>
    <t>J393C8892GP</t>
  </si>
  <si>
    <t>J400A3702BP</t>
  </si>
  <si>
    <t>J400A3E80AP</t>
  </si>
  <si>
    <t>J400A8K02AP</t>
  </si>
  <si>
    <t>J6144-3E12</t>
  </si>
  <si>
    <t>J6144-3E22</t>
  </si>
  <si>
    <t>J622A-3702</t>
  </si>
  <si>
    <t>J622A-3762</t>
  </si>
  <si>
    <t>K1KA03AA0090</t>
  </si>
  <si>
    <t>K1KA04BA0107</t>
  </si>
  <si>
    <t>K1MY04BA0634</t>
  </si>
  <si>
    <t>K5G102YA0159</t>
  </si>
  <si>
    <t>L5EDDYY01269</t>
  </si>
  <si>
    <t>MN101C87ADB</t>
  </si>
  <si>
    <t>N0BF1CC00009</t>
  </si>
  <si>
    <t>PGPN1198ZA/V1</t>
  </si>
  <si>
    <t>PJPEC0005ZA/V2</t>
  </si>
  <si>
    <t>PNPG2968000ZA/V1</t>
  </si>
  <si>
    <t>PNPG3800000ZA/V3</t>
  </si>
  <si>
    <t>PNPK5620000ZA</t>
  </si>
  <si>
    <t>PNPP1110ZA/V1</t>
  </si>
  <si>
    <t>PNPP415X595ZA</t>
  </si>
  <si>
    <t>PSPG1184YA-VJ</t>
  </si>
  <si>
    <t>PSPN1089ZA-VJ</t>
  </si>
  <si>
    <t>XTCAFL4+12AFSV3</t>
  </si>
  <si>
    <t>XTEA3+6BJ</t>
  </si>
  <si>
    <t>XTTANE4+12SX</t>
  </si>
  <si>
    <t>XTWA4+8BJ</t>
  </si>
  <si>
    <t>XYEA4+C16TSJ</t>
  </si>
  <si>
    <t>XYF5+AF10JV1</t>
  </si>
  <si>
    <t>B1CFNG000017</t>
  </si>
  <si>
    <t>DPMH2135ZA/X1</t>
  </si>
  <si>
    <t>DPMJ1181ZA/X1</t>
  </si>
  <si>
    <t>DPMJ1229YA/X1</t>
  </si>
  <si>
    <t>DPMJ1246ZA/X1</t>
  </si>
  <si>
    <t>DPUR1006ZA/X1</t>
  </si>
  <si>
    <t>TUCJ6139-3</t>
  </si>
  <si>
    <t>3CA001128BAA/J3</t>
  </si>
  <si>
    <t>3DL001052AAA/V1</t>
  </si>
  <si>
    <t>3PB002459BAA</t>
  </si>
  <si>
    <t>3PD002353AAA</t>
  </si>
  <si>
    <t>A1AB1072C4/V1</t>
  </si>
  <si>
    <t>A2KB0914E1/X1</t>
  </si>
  <si>
    <t>A3CB0055A4</t>
  </si>
  <si>
    <t>B0ACCK000021</t>
  </si>
  <si>
    <t>B0ACCK000034</t>
  </si>
  <si>
    <t>B0BC03000022</t>
  </si>
  <si>
    <t>B0BC032A0959</t>
  </si>
  <si>
    <t>B0BC6R2A0864</t>
  </si>
  <si>
    <t>B0BC6R8A0380</t>
  </si>
  <si>
    <t>B0ECKR000060</t>
  </si>
  <si>
    <t>B0JCPE000079</t>
  </si>
  <si>
    <t>B0KB00000098</t>
  </si>
  <si>
    <t>B1ABCF000270</t>
  </si>
  <si>
    <t>B1ADKE000002</t>
  </si>
  <si>
    <t>B1CFHF000018</t>
  </si>
  <si>
    <t>B1CFQD000021</t>
  </si>
  <si>
    <t>B1CHQC000015</t>
  </si>
  <si>
    <t>B1CHQC000019</t>
  </si>
  <si>
    <t>B1GBCFYY0302</t>
  </si>
  <si>
    <t>B3ADB0000283</t>
  </si>
  <si>
    <t>B3AGB0000054</t>
  </si>
  <si>
    <t>B3PBA0000746</t>
  </si>
  <si>
    <t>C0ABBB000220</t>
  </si>
  <si>
    <t>C0BBBA000024</t>
  </si>
  <si>
    <t>C0CAAPE00004</t>
  </si>
  <si>
    <t>C0CBAKE00009</t>
  </si>
  <si>
    <t>C0DBAYY00552</t>
  </si>
  <si>
    <t>C0DBAYY04301</t>
  </si>
  <si>
    <t>C0DBDYY00009</t>
  </si>
  <si>
    <t>C0DBDYY00120</t>
  </si>
  <si>
    <t>C0DBDYY00157</t>
  </si>
  <si>
    <t>C0DBFYY00467</t>
  </si>
  <si>
    <t>C0DBGYY00887</t>
  </si>
  <si>
    <t>C0DBGYY01565</t>
  </si>
  <si>
    <t>C0DBGYY03592</t>
  </si>
  <si>
    <t>C0DBZYY00453</t>
  </si>
  <si>
    <t>C0DBZYY00877</t>
  </si>
  <si>
    <t>C0EBY0000646</t>
  </si>
  <si>
    <t>C0EBY0000665</t>
  </si>
  <si>
    <t>C0EBY0000666</t>
  </si>
  <si>
    <t>C0JBAA000174</t>
  </si>
  <si>
    <t>C0JBAU000226</t>
  </si>
  <si>
    <t>C0ZBZ0002221</t>
  </si>
  <si>
    <t>C0ZBZ0002621</t>
  </si>
  <si>
    <t>C1AB00003673</t>
  </si>
  <si>
    <t>C1AB00004251</t>
  </si>
  <si>
    <t>C1AB00004310</t>
  </si>
  <si>
    <t>C1ZBZ0005800</t>
  </si>
  <si>
    <t>C1ZBZ0006053</t>
  </si>
  <si>
    <t>C1ZBZ0006477</t>
  </si>
  <si>
    <t>C1ZBZ0007259</t>
  </si>
  <si>
    <t>C2BBYY000616</t>
  </si>
  <si>
    <t>C2DBYY001864</t>
  </si>
  <si>
    <t>C3ABXY000055</t>
  </si>
  <si>
    <t>C3EBJY000100</t>
  </si>
  <si>
    <t>C3EBMY000019</t>
  </si>
  <si>
    <t>C3FBMY000421</t>
  </si>
  <si>
    <t>C3FBMY000460</t>
  </si>
  <si>
    <t>C3FBNY000409</t>
  </si>
  <si>
    <t>CS4</t>
  </si>
  <si>
    <t>CV100F</t>
  </si>
  <si>
    <t>D0GA114JA023</t>
  </si>
  <si>
    <t>D0GA272JA023</t>
  </si>
  <si>
    <t>D0GA4R7JA023</t>
  </si>
  <si>
    <t>D0GA510JA070</t>
  </si>
  <si>
    <t>D0GB102JA065</t>
  </si>
  <si>
    <t>D0GB103JA065</t>
  </si>
  <si>
    <t>D0GB181JA065</t>
  </si>
  <si>
    <t>D0GB750JA065</t>
  </si>
  <si>
    <t>D0GD101JA052</t>
  </si>
  <si>
    <t>D0GD104JA052</t>
  </si>
  <si>
    <t>D0GD330JA052</t>
  </si>
  <si>
    <t>D0GF104JA048</t>
  </si>
  <si>
    <t>D0GFR00JA104</t>
  </si>
  <si>
    <t>D1BA1000A023</t>
  </si>
  <si>
    <t>D1BA1003A023</t>
  </si>
  <si>
    <t>D1BA1202A022</t>
  </si>
  <si>
    <t>D1BA1501A023</t>
  </si>
  <si>
    <t>D1BA16R0A023</t>
  </si>
  <si>
    <t>D1BA1800A023</t>
  </si>
  <si>
    <t>D1BA1801A023</t>
  </si>
  <si>
    <t>D1BA2000A022</t>
  </si>
  <si>
    <t>D1BA2001A023</t>
  </si>
  <si>
    <t>D1BA2202A023</t>
  </si>
  <si>
    <t>D1BA2203A023</t>
  </si>
  <si>
    <t>D1BA2703A023</t>
  </si>
  <si>
    <t>D1BA3603A023</t>
  </si>
  <si>
    <t>D1BA3901A023</t>
  </si>
  <si>
    <t>D1BA3902A023</t>
  </si>
  <si>
    <t>D1BA5101A023</t>
  </si>
  <si>
    <t>D1BA5103A023</t>
  </si>
  <si>
    <t>D1BA5602A023</t>
  </si>
  <si>
    <t>D1BA56R0A023</t>
  </si>
  <si>
    <t>D1BA6491A023</t>
  </si>
  <si>
    <t>D1BA6801A023</t>
  </si>
  <si>
    <t>D1BA8201A023</t>
  </si>
  <si>
    <t>D1BB1003A074</t>
  </si>
  <si>
    <t>D1BD75R0A066</t>
  </si>
  <si>
    <t>D2BAB54Y0001</t>
  </si>
  <si>
    <t>D4CAY5R00005</t>
  </si>
  <si>
    <t>D4EDY150A017</t>
  </si>
  <si>
    <t>D4FBR200A130</t>
  </si>
  <si>
    <t>DVGX1510ZAK/X1</t>
  </si>
  <si>
    <t>DVHX2260ZA/X1</t>
  </si>
  <si>
    <t>DVHX2263ZA/X1</t>
  </si>
  <si>
    <t>DVHX2264ZA/X1</t>
  </si>
  <si>
    <t>DVHX2266ZA/X1</t>
  </si>
  <si>
    <t>DVMA1072ZA/X1</t>
  </si>
  <si>
    <t>DVMJ1054ZAK/X1</t>
  </si>
  <si>
    <t>DVMY1193ZA/X1</t>
  </si>
  <si>
    <t>DVPN1836ZA/V1</t>
  </si>
  <si>
    <t>DVPP1158ZA/V1</t>
  </si>
  <si>
    <t>ERZV05D470</t>
  </si>
  <si>
    <t>ERZV14D471</t>
  </si>
  <si>
    <t>F1BAF331A231</t>
  </si>
  <si>
    <t>F1G0J105A007</t>
  </si>
  <si>
    <t>F1G0J106A050</t>
  </si>
  <si>
    <t>F1G0J106A110</t>
  </si>
  <si>
    <t>F1G1A1050004</t>
  </si>
  <si>
    <t>F1G1A2240008</t>
  </si>
  <si>
    <t>F1G1C473A081</t>
  </si>
  <si>
    <t>F1G1E223A103</t>
  </si>
  <si>
    <t>F1G1H101A948</t>
  </si>
  <si>
    <t>F1G1H222A571</t>
  </si>
  <si>
    <t>F1G1H272B125</t>
  </si>
  <si>
    <t>F1G1H330A834</t>
  </si>
  <si>
    <t>F1G1HR20A798</t>
  </si>
  <si>
    <t>F1H0J2260001</t>
  </si>
  <si>
    <t>F1H1C106A202</t>
  </si>
  <si>
    <t>F1H1C475A217</t>
  </si>
  <si>
    <t>F1H1E106A170</t>
  </si>
  <si>
    <t>F1H1H1010014</t>
  </si>
  <si>
    <t>F1H1H222A831</t>
  </si>
  <si>
    <t>F1J0J476A093</t>
  </si>
  <si>
    <t>F1J1E105A293</t>
  </si>
  <si>
    <t>F1J1H105A918</t>
  </si>
  <si>
    <t>F1J1V1060001</t>
  </si>
  <si>
    <t>F1L1C1030001</t>
  </si>
  <si>
    <t>F1L1C123A105</t>
  </si>
  <si>
    <t>F1L1E271A199</t>
  </si>
  <si>
    <t>F1L1E682A200</t>
  </si>
  <si>
    <t>F1L1H181A201</t>
  </si>
  <si>
    <t>F1L1H220A201</t>
  </si>
  <si>
    <t>F1L1H330A201</t>
  </si>
  <si>
    <t>F1R1C333A006</t>
  </si>
  <si>
    <t>F1R1C393A028</t>
  </si>
  <si>
    <t>F1R1E332A004</t>
  </si>
  <si>
    <t>F1R1H1R0A016</t>
  </si>
  <si>
    <t>F1R1H1R4A016</t>
  </si>
  <si>
    <t>F1R1H1R5A016</t>
  </si>
  <si>
    <t>F1R1H1R8A016</t>
  </si>
  <si>
    <t>F1R1H3R9A016</t>
  </si>
  <si>
    <t>F1R1H4R7A016</t>
  </si>
  <si>
    <t>F1R1H5R0A016</t>
  </si>
  <si>
    <t>F1R1H7R0A016</t>
  </si>
  <si>
    <t>F1R1HR20A016</t>
  </si>
  <si>
    <t>F1R1HR80A016</t>
  </si>
  <si>
    <t>F2A1V471B162</t>
  </si>
  <si>
    <t>F2B1V472A035</t>
  </si>
  <si>
    <t>F2G1V101A231</t>
  </si>
  <si>
    <t>G1BYYYK00001</t>
  </si>
  <si>
    <t>G1C100MA0234</t>
  </si>
  <si>
    <t>G1C100MA0461</t>
  </si>
  <si>
    <t>G1C10NJA0156</t>
  </si>
  <si>
    <t>G1C150MA0904</t>
  </si>
  <si>
    <t>G1C18NJA0156</t>
  </si>
  <si>
    <t>G1C27NJA0156</t>
  </si>
  <si>
    <t>G1C3N3ZA0336</t>
  </si>
  <si>
    <t>G1C3N9ZA0068</t>
  </si>
  <si>
    <t>G1C4R7MA1685</t>
  </si>
  <si>
    <t>G1C5N6JA0156</t>
  </si>
  <si>
    <t>G4DYA0000921</t>
  </si>
  <si>
    <t>H0J160500081</t>
  </si>
  <si>
    <t>H0J207500013</t>
  </si>
  <si>
    <t>H2C200500015</t>
  </si>
  <si>
    <t>J0JCC0000275</t>
  </si>
  <si>
    <t>J0JHC0000117</t>
  </si>
  <si>
    <t>K0D122A00098</t>
  </si>
  <si>
    <t>K0D123A00076</t>
  </si>
  <si>
    <t>K0D411A00007</t>
  </si>
  <si>
    <t>K0D811A00019</t>
  </si>
  <si>
    <t>K0H1BA000564</t>
  </si>
  <si>
    <t>K0H1BA000717</t>
  </si>
  <si>
    <t>K0H1CB000003</t>
  </si>
  <si>
    <t>K1FY105D0002</t>
  </si>
  <si>
    <t>K1FY124E0013</t>
  </si>
  <si>
    <t>K1KA03AA0051</t>
  </si>
  <si>
    <t>K1KA04AA0051</t>
  </si>
  <si>
    <t>K1KA06A00451</t>
  </si>
  <si>
    <t>K1MY20AA0353</t>
  </si>
  <si>
    <t>K2A33A000001</t>
  </si>
  <si>
    <t>K4AC03H00004</t>
  </si>
  <si>
    <t>K4AZ09B00004</t>
  </si>
  <si>
    <t>K4EY1YY00055</t>
  </si>
  <si>
    <t>K5D402BNA005</t>
  </si>
  <si>
    <t>K5H501Y00003</t>
  </si>
  <si>
    <t>K5JBPA000003</t>
  </si>
  <si>
    <t>K5JBQA000002</t>
  </si>
  <si>
    <t>K6B2CHA00075</t>
  </si>
  <si>
    <t>L0AZ02A00005</t>
  </si>
  <si>
    <t>L0CBAY000259</t>
  </si>
  <si>
    <t>L0CBBY000029</t>
  </si>
  <si>
    <t>L0CBCY000003</t>
  </si>
  <si>
    <t>L5BDDYY00334</t>
  </si>
  <si>
    <t>N0AE1GE00013</t>
  </si>
  <si>
    <t>PE45X63C05E</t>
  </si>
  <si>
    <t>PGBC1019UA/C9</t>
  </si>
  <si>
    <t>PGBC1065ZA/C1</t>
  </si>
  <si>
    <t>PGGC1016SA/V1</t>
  </si>
  <si>
    <t>PGGC1016TA/V1</t>
  </si>
  <si>
    <t>PGGE1077YA/C1</t>
  </si>
  <si>
    <t>PGGG1001ZB/V1</t>
  </si>
  <si>
    <t>PGGG1015ZA/C1</t>
  </si>
  <si>
    <t>PGGG1021ZA/V1</t>
  </si>
  <si>
    <t>PGGK1060ZA/C1</t>
  </si>
  <si>
    <t>PGGP1092XA/V1</t>
  </si>
  <si>
    <t>PGGP1093ZA/V1</t>
  </si>
  <si>
    <t>PGGP1172ZA/C1</t>
  </si>
  <si>
    <t>PGGP1193XA/C1</t>
  </si>
  <si>
    <t>PGGT2532UA/V8</t>
  </si>
  <si>
    <t>PGHD1085ZA/V1</t>
  </si>
  <si>
    <t>PGHD1124ZA/V1</t>
  </si>
  <si>
    <t>PGHG1225ZA/V1</t>
  </si>
  <si>
    <t>PGHG1630ZA/C1</t>
  </si>
  <si>
    <t>PGHP1014ZA/V1</t>
  </si>
  <si>
    <t>PGHR1219ZA/C1</t>
  </si>
  <si>
    <t>PGHR1271ZA/V1</t>
  </si>
  <si>
    <t>PGHR1272ZA/V1</t>
  </si>
  <si>
    <t>PGHR1329ZA/J1</t>
  </si>
  <si>
    <t>PGHR1508ZA/V1</t>
  </si>
  <si>
    <t>PGHS1024ZA/V1</t>
  </si>
  <si>
    <t>PGHS1038ZA/V1</t>
  </si>
  <si>
    <t>PGHS1073ZA/C1</t>
  </si>
  <si>
    <t>PGHS1079ZA/C1</t>
  </si>
  <si>
    <t>PGHX1198ZA/V1</t>
  </si>
  <si>
    <t>PGJA1020ZA/D1</t>
  </si>
  <si>
    <t>PGJC1019YA/V1</t>
  </si>
  <si>
    <t>PGJK1024ZA/V1</t>
  </si>
  <si>
    <t>PGKE1071ZA/V1</t>
  </si>
  <si>
    <t>PGKE1170ZA/V1</t>
  </si>
  <si>
    <t>PGKM1218XA/V1</t>
  </si>
  <si>
    <t>PGKM1219ZA/C1</t>
  </si>
  <si>
    <t>PGKV1498YA/V1</t>
  </si>
  <si>
    <t>PGKV1519ZA/V1</t>
  </si>
  <si>
    <t>PGKV1520WA/V1</t>
  </si>
  <si>
    <t>PGKV1524XA/C1</t>
  </si>
  <si>
    <t>PGKV1524YA/C1</t>
  </si>
  <si>
    <t>PGLB2093ZA-XM</t>
  </si>
  <si>
    <t>PGLB2131YA-WK</t>
  </si>
  <si>
    <t>PGLB2133YB-WK</t>
  </si>
  <si>
    <t>PGLV1018WA/J1</t>
  </si>
  <si>
    <t>PGMA1003ZA/C1</t>
  </si>
  <si>
    <t>PGMD1257ZA/C1</t>
  </si>
  <si>
    <t>PGME1513ZA/C1</t>
  </si>
  <si>
    <t>PGME1514ZA/C1</t>
  </si>
  <si>
    <t>PGME1529ZA/V1</t>
  </si>
  <si>
    <t>PGMH2377YA/C1</t>
  </si>
  <si>
    <t>PGPB1026ZA-AY</t>
  </si>
  <si>
    <t>PGPD1501ZA/V7</t>
  </si>
  <si>
    <t>PGPE1059ZA/V2</t>
  </si>
  <si>
    <t>PGPE1060ZA/V2</t>
  </si>
  <si>
    <t>PGPK1125008XA/V8</t>
  </si>
  <si>
    <t>PGPK1125010YA/V8</t>
  </si>
  <si>
    <t>PGPK1387006WA/V8</t>
  </si>
  <si>
    <t>PGPK1387007WA/V8</t>
  </si>
  <si>
    <t>PGPK1388003WA/V8</t>
  </si>
  <si>
    <t>PGPK1388004XA/V8</t>
  </si>
  <si>
    <t>PGPP1049ZA/V1</t>
  </si>
  <si>
    <t>PGQS1065ZA/V1</t>
  </si>
  <si>
    <t>PGQT1275ZA/D1</t>
  </si>
  <si>
    <t>PGQT1413ZA/V1</t>
  </si>
  <si>
    <t>PGQT1414ZA/V1</t>
  </si>
  <si>
    <t>PGQT1695VA/V1</t>
  </si>
  <si>
    <t>PGQT1825ZA/C1</t>
  </si>
  <si>
    <t>PGQV1013TA/V1</t>
  </si>
  <si>
    <t>PGQX2227VA/V8</t>
  </si>
  <si>
    <t>PGQX2232VA/V1</t>
  </si>
  <si>
    <t>PGSK1001ZA/C1</t>
  </si>
  <si>
    <t>PGUA1114ZA/C1</t>
  </si>
  <si>
    <t>PGUF1232ZA/V1</t>
  </si>
  <si>
    <t>PGUF1244ZA/V1</t>
  </si>
  <si>
    <t>PGUF1247ZA/V1</t>
  </si>
  <si>
    <t>PGUG1031ZA/V1</t>
  </si>
  <si>
    <t>PGUR1115ZA/V1</t>
  </si>
  <si>
    <t>PGUS1037ZA/V1</t>
  </si>
  <si>
    <t>PGUS1064ZA/C1</t>
  </si>
  <si>
    <t>PGWD1358ZA-HF</t>
  </si>
  <si>
    <t>PGWD1942ZA/C1</t>
  </si>
  <si>
    <t>PJPEC0190ZA/V2</t>
  </si>
  <si>
    <t>PSPD1410ZA</t>
  </si>
  <si>
    <t>PSPK2461ZA</t>
  </si>
  <si>
    <t>PSPP1069ZA-LP</t>
  </si>
  <si>
    <t>PUBC1009ZA/V1</t>
  </si>
  <si>
    <t>PUBC1011ZA/V1</t>
  </si>
  <si>
    <t>PUGK1009ZA/V1</t>
  </si>
  <si>
    <t>PUGP1031ZA/V1</t>
  </si>
  <si>
    <t>PUGT1021VA/V1</t>
  </si>
  <si>
    <t>PUGT1070ZA/V1</t>
  </si>
  <si>
    <t>PUGT1071ZA/V1</t>
  </si>
  <si>
    <t>PUHG1022ZA/V1</t>
  </si>
  <si>
    <t>PUHR1026ZA/V1</t>
  </si>
  <si>
    <t>PUHR1037ZA/V1</t>
  </si>
  <si>
    <t>PUHR1049ZA/V1</t>
  </si>
  <si>
    <t>PUHS1013ZA/V1</t>
  </si>
  <si>
    <t>PUHS1020ZA/V1</t>
  </si>
  <si>
    <t>PUJE1004ZA-4B</t>
  </si>
  <si>
    <t>PUKM1009YA/V1</t>
  </si>
  <si>
    <t>PUKM1025YA/V1</t>
  </si>
  <si>
    <t>PUKU1006ZA/V1</t>
  </si>
  <si>
    <t>PUKV1032YA/V1</t>
  </si>
  <si>
    <t>PUKV1043ZA/V1</t>
  </si>
  <si>
    <t>PUKV1049ZA/V1</t>
  </si>
  <si>
    <t>PUKV1051ZA/V1</t>
  </si>
  <si>
    <t>PUKV1052ZA/V1</t>
  </si>
  <si>
    <t>PULA1001ZA/V1</t>
  </si>
  <si>
    <t>PULB1023ZA-GL</t>
  </si>
  <si>
    <t>PULB1024ZA-XM</t>
  </si>
  <si>
    <t>PULB1030ZA-XM</t>
  </si>
  <si>
    <t>PULB1123ZA-GL</t>
  </si>
  <si>
    <t>PULB1124ZA/X1</t>
  </si>
  <si>
    <t>PUMA1002ZA/V1</t>
  </si>
  <si>
    <t>PUME1035ZA/V1</t>
  </si>
  <si>
    <t>PUME1036ZA/V1</t>
  </si>
  <si>
    <t>PUMH1014ZA/V1</t>
  </si>
  <si>
    <t>PUMH1021ZA/V1</t>
  </si>
  <si>
    <t>PUMH1023ZA/J1</t>
  </si>
  <si>
    <t>PUMH1080ZA/V1</t>
  </si>
  <si>
    <t>PUMH1083ZA/V1</t>
  </si>
  <si>
    <t>PUMK1001ZA/V2</t>
  </si>
  <si>
    <t>PUMZ1004ZA/V1</t>
  </si>
  <si>
    <t>PUOR1006ZA/V1</t>
  </si>
  <si>
    <t>PUPD1029ZA/V1</t>
  </si>
  <si>
    <t>PUPD1030ZA/V1</t>
  </si>
  <si>
    <t>PUPD1031ZA/V1</t>
  </si>
  <si>
    <t>PUPE1001ZA/V2</t>
  </si>
  <si>
    <t>PUPG1004001ZA/V7</t>
  </si>
  <si>
    <t>PUPK1006001XA/V8</t>
  </si>
  <si>
    <t>PUPK1006004ZA/V1</t>
  </si>
  <si>
    <t>PUPK1026001XA/V8</t>
  </si>
  <si>
    <t>PUPN1013ZA/V1</t>
  </si>
  <si>
    <t>PUPN1022ZA/V1</t>
  </si>
  <si>
    <t>PUPN1043YA/V1</t>
  </si>
  <si>
    <t>PUQS1003ZA/V1</t>
  </si>
  <si>
    <t>PUQS1006ZA/V1</t>
  </si>
  <si>
    <t>PUQT1040ZA/V1</t>
  </si>
  <si>
    <t>PUQT1077ZA/V1</t>
  </si>
  <si>
    <t>PUQT1078ZA/V1</t>
  </si>
  <si>
    <t>PUQX1069ZA/V1</t>
  </si>
  <si>
    <t>PUUA1006ZA/V1</t>
  </si>
  <si>
    <t>PUUA1015ZA/V1</t>
  </si>
  <si>
    <t>PUUF1025ZA/V1</t>
  </si>
  <si>
    <t>PUUR1004ZA/V1</t>
  </si>
  <si>
    <t>PUWD1051ZA/Y1</t>
  </si>
  <si>
    <t>PUWD1053ZA/Y1</t>
  </si>
  <si>
    <t>PUWD1055ZA/Y1</t>
  </si>
  <si>
    <t>PUWD1067ZB-VW</t>
  </si>
  <si>
    <t>PUWD1165ZA/X1</t>
  </si>
  <si>
    <t>PUWD1170ZA/X1</t>
  </si>
  <si>
    <t>PUWD1171ZA/X1</t>
  </si>
  <si>
    <t>PUWD1172ZA/X1</t>
  </si>
  <si>
    <t>TM147NO1</t>
  </si>
  <si>
    <t>V5EB0505B3/J2</t>
  </si>
  <si>
    <t>VGQ0X16</t>
  </si>
  <si>
    <t>VGQ0Y01</t>
  </si>
  <si>
    <t>VGQ1G03</t>
  </si>
  <si>
    <t>VGQ1P53</t>
  </si>
  <si>
    <t>VXD0645</t>
  </si>
  <si>
    <t>XMM41+25FJV1</t>
  </si>
  <si>
    <t>XSB2+6FNV1</t>
  </si>
  <si>
    <t>XSB3+6FJKV1</t>
  </si>
  <si>
    <t>XSB4+35FNV1</t>
  </si>
  <si>
    <t>XSB4+8FJKV1</t>
  </si>
  <si>
    <t>XSB4+8FNV1</t>
  </si>
  <si>
    <t>XSB5+12FJKV1</t>
  </si>
  <si>
    <t>XSB5+20FJV2</t>
  </si>
  <si>
    <t>XSN4+8BNV1</t>
  </si>
  <si>
    <t>XTB2+6GFNV1</t>
  </si>
  <si>
    <t>XTB3+8FFJKV1</t>
  </si>
  <si>
    <t>XWG3FJ</t>
  </si>
  <si>
    <t>XYN3+F8FNC4</t>
  </si>
  <si>
    <t>XYN4+F6FJV1</t>
  </si>
  <si>
    <t>XZB05X08A03/V1</t>
  </si>
  <si>
    <t>XZB10X35C05/V2</t>
  </si>
  <si>
    <t>XZB45X63C05/V1</t>
  </si>
  <si>
    <t>YWT10X10C03</t>
  </si>
  <si>
    <t>B2ABAP000007</t>
  </si>
  <si>
    <t>D0GA122JA039</t>
  </si>
  <si>
    <t>D0GA183JA039</t>
  </si>
  <si>
    <t>D1BA4700A022</t>
  </si>
  <si>
    <t>DVGE1452ZA/X1</t>
  </si>
  <si>
    <t>DVGE1565ZA/X1</t>
  </si>
  <si>
    <t>DVGE2115ZA/X1</t>
  </si>
  <si>
    <t>DVGE2131ZA/X1</t>
  </si>
  <si>
    <t>DVHG1165ZA/X1</t>
  </si>
  <si>
    <t>DVHG1289ZA/X1</t>
  </si>
  <si>
    <t>DVHX1169YA/X1</t>
  </si>
  <si>
    <t>DVHX2060ZA/X1</t>
  </si>
  <si>
    <t>DVHX2186ZA/X1</t>
  </si>
  <si>
    <t>DVHX2187ZA/X1</t>
  </si>
  <si>
    <t>DVHX2188ZA/X1</t>
  </si>
  <si>
    <t>DVHX2202ZA/X1</t>
  </si>
  <si>
    <t>DVHX2239ZB/X1</t>
  </si>
  <si>
    <t>DVMC1201ZA/X1</t>
  </si>
  <si>
    <t>DVPN1507ZC/V1</t>
  </si>
  <si>
    <t>DVQW1922ZB/V1</t>
  </si>
  <si>
    <t>DVQW1990ZA/V1</t>
  </si>
  <si>
    <t>DVQX2635YA/V1</t>
  </si>
  <si>
    <t>DVQX2636YA/V1</t>
  </si>
  <si>
    <t>F1G1H470B065</t>
  </si>
  <si>
    <t>F1H1C225A065</t>
  </si>
  <si>
    <t>G1C4R7MA0955</t>
  </si>
  <si>
    <t>N0BF1CD00009</t>
  </si>
  <si>
    <t>SMA0182-1M</t>
  </si>
  <si>
    <t>VGQ0B17-2</t>
  </si>
  <si>
    <t>VHD1870</t>
  </si>
  <si>
    <t>VHD1919</t>
  </si>
  <si>
    <t>VMC2111-2</t>
  </si>
  <si>
    <t>VSB0529-2</t>
  </si>
  <si>
    <t>8A2K0800007</t>
  </si>
  <si>
    <t>B0ECKL000014</t>
  </si>
  <si>
    <t>B1ABGN000001</t>
  </si>
  <si>
    <t>B1ADGD000005</t>
  </si>
  <si>
    <t>B1ADKD000001</t>
  </si>
  <si>
    <t>B1GBCFEL0001</t>
  </si>
  <si>
    <t>B3AGB0000050</t>
  </si>
  <si>
    <t>B3AZB0000117</t>
  </si>
  <si>
    <t>B3PBA0001013</t>
  </si>
  <si>
    <t>C0ABAA000135</t>
  </si>
  <si>
    <t>C0DBAYY00623</t>
  </si>
  <si>
    <t>C0DBAYY00781</t>
  </si>
  <si>
    <t>C0DBAYY02350</t>
  </si>
  <si>
    <t>C0DBAYY02593</t>
  </si>
  <si>
    <t>C0DBAYY02618</t>
  </si>
  <si>
    <t>C0DBAYY02681</t>
  </si>
  <si>
    <t>C0DBGYY00934</t>
  </si>
  <si>
    <t>C0DBGYY02004</t>
  </si>
  <si>
    <t>C0DBGYY04940</t>
  </si>
  <si>
    <t>C0EBY0002233</t>
  </si>
  <si>
    <t>C0ZBZ0002201</t>
  </si>
  <si>
    <t>C1AB00004235</t>
  </si>
  <si>
    <t>C2DBYY002208</t>
  </si>
  <si>
    <t>C3EBKY000028</t>
  </si>
  <si>
    <t>C3FBLY000231</t>
  </si>
  <si>
    <t>C3FBYY000083</t>
  </si>
  <si>
    <t>D0GB100JA127</t>
  </si>
  <si>
    <t>D0GB331JA065</t>
  </si>
  <si>
    <t>D0GBR00J0004</t>
  </si>
  <si>
    <t>D0GF150JA057</t>
  </si>
  <si>
    <t>D0GF680KA001</t>
  </si>
  <si>
    <t>D0GF681JA057</t>
  </si>
  <si>
    <t>D0GFR82JA020</t>
  </si>
  <si>
    <t>D0GZ474JA020</t>
  </si>
  <si>
    <t>D0X0R0000077</t>
  </si>
  <si>
    <t>D1BF3R60A031</t>
  </si>
  <si>
    <t>D1BF5R60A021</t>
  </si>
  <si>
    <t>D1H84724A042</t>
  </si>
  <si>
    <t>D4EAY331A211</t>
  </si>
  <si>
    <t>D4ED16R80001</t>
  </si>
  <si>
    <t>F0CAF104A232</t>
  </si>
  <si>
    <t>F1G1A563A069</t>
  </si>
  <si>
    <t>F1G1C223A146</t>
  </si>
  <si>
    <t>F1G1E105A211</t>
  </si>
  <si>
    <t>F1G1H472B014</t>
  </si>
  <si>
    <t>F1G1H561A541</t>
  </si>
  <si>
    <t>F1G1H561B014</t>
  </si>
  <si>
    <t>F1G1H5R6A765</t>
  </si>
  <si>
    <t>F1G1H821A541</t>
  </si>
  <si>
    <t>F1H0J105A037</t>
  </si>
  <si>
    <t>F1H1A4750004</t>
  </si>
  <si>
    <t>F1H1H272B187</t>
  </si>
  <si>
    <t>F1H1H332B187</t>
  </si>
  <si>
    <t>F1J1H102A703</t>
  </si>
  <si>
    <t>F1J1H103A733</t>
  </si>
  <si>
    <t>F1J1H221A703</t>
  </si>
  <si>
    <t>F1J2E102A023</t>
  </si>
  <si>
    <t>F1J2E222A023</t>
  </si>
  <si>
    <t>F1K0J107A099</t>
  </si>
  <si>
    <t>F1K1H563A169</t>
  </si>
  <si>
    <t>F1K1H683A190</t>
  </si>
  <si>
    <t>F1K2E1040004</t>
  </si>
  <si>
    <t>F1K3A681A016</t>
  </si>
  <si>
    <t>F1L0J224A092</t>
  </si>
  <si>
    <t>F1L1A1030005</t>
  </si>
  <si>
    <t>F1L1A104A054</t>
  </si>
  <si>
    <t>F1L1A823A079</t>
  </si>
  <si>
    <t>F1L1C333A105</t>
  </si>
  <si>
    <t>F1L1E1060021</t>
  </si>
  <si>
    <t>F1L1H101A201</t>
  </si>
  <si>
    <t>F1L1H120A201</t>
  </si>
  <si>
    <t>F1L1H152A185</t>
  </si>
  <si>
    <t>F1L1H1R0A200</t>
  </si>
  <si>
    <t>F1L1H270A201</t>
  </si>
  <si>
    <t>F1L1H331A183</t>
  </si>
  <si>
    <t>F1L1H560A201</t>
  </si>
  <si>
    <t>F1L1H6R0A200</t>
  </si>
  <si>
    <t>F1LAF472A004</t>
  </si>
  <si>
    <t>F1R1C153A028</t>
  </si>
  <si>
    <t>F1R1C223A028</t>
  </si>
  <si>
    <t>F1R1C473A028</t>
  </si>
  <si>
    <t>F1R1C683A028</t>
  </si>
  <si>
    <t>F2A1A102B641</t>
  </si>
  <si>
    <t>G0B112E00001</t>
  </si>
  <si>
    <t>G0ZZ00002646</t>
  </si>
  <si>
    <t>G0ZZ00002647</t>
  </si>
  <si>
    <t>G0ZZ00002952</t>
  </si>
  <si>
    <t>G0ZZ00002953</t>
  </si>
  <si>
    <t>G1C100MA1445</t>
  </si>
  <si>
    <t>G1C1N2ZA0113</t>
  </si>
  <si>
    <t>G1C1N8ZA0113</t>
  </si>
  <si>
    <t>G1C2N0ZA0113</t>
  </si>
  <si>
    <t>G1C2N2ZA0066</t>
  </si>
  <si>
    <t>G1C2N7ZA0068</t>
  </si>
  <si>
    <t>G1C2R2MA0397</t>
  </si>
  <si>
    <t>G1C330JA0268</t>
  </si>
  <si>
    <t>G1C330MA0182</t>
  </si>
  <si>
    <t>G1C3N9ZA0113</t>
  </si>
  <si>
    <t>G1C470MA0072</t>
  </si>
  <si>
    <t>G1C4N3ZA0113</t>
  </si>
  <si>
    <t>G1C4N7ZA0068</t>
  </si>
  <si>
    <t>G1C4N7ZA0113</t>
  </si>
  <si>
    <t>G1C4R7MA0477</t>
  </si>
  <si>
    <t>G1C5N1ZA0113</t>
  </si>
  <si>
    <t>G1C681MA0072</t>
  </si>
  <si>
    <t>G1C6N8JA0069</t>
  </si>
  <si>
    <t>H0A327200190</t>
  </si>
  <si>
    <t>H0J103500047</t>
  </si>
  <si>
    <t>H0J138500010</t>
  </si>
  <si>
    <t>H0J138500017</t>
  </si>
  <si>
    <t>H0J240500106</t>
  </si>
  <si>
    <t>H0J250500109</t>
  </si>
  <si>
    <t>H0J270500137</t>
  </si>
  <si>
    <t>H0J327200309</t>
  </si>
  <si>
    <t>H0J400500048</t>
  </si>
  <si>
    <t>H1A5005B0062</t>
  </si>
  <si>
    <t>J0HAAG000022</t>
  </si>
  <si>
    <t>J0JCC0000159</t>
  </si>
  <si>
    <t>J0JCC0000388</t>
  </si>
  <si>
    <t>J0JYC0000101</t>
  </si>
  <si>
    <t>K1KA04BA0086</t>
  </si>
  <si>
    <t>K1KY08AA1992</t>
  </si>
  <si>
    <t>K1MY34BA0645</t>
  </si>
  <si>
    <t>K1MY45BA0667</t>
  </si>
  <si>
    <t>K2ECYB000004</t>
  </si>
  <si>
    <t>K2LC108B0039</t>
  </si>
  <si>
    <t>K5H152Y00001</t>
  </si>
  <si>
    <t>K5H252YA0124</t>
  </si>
  <si>
    <t>L0AA01A00104</t>
  </si>
  <si>
    <t>L0AD01A00038</t>
  </si>
  <si>
    <t>L0AD02A00010</t>
  </si>
  <si>
    <t>L0CBAY000053</t>
  </si>
  <si>
    <t>L0CBAY000257</t>
  </si>
  <si>
    <t>L0DAYA000010</t>
  </si>
  <si>
    <t>L5DYBYY00080</t>
  </si>
  <si>
    <t>L5DYBYY00110</t>
  </si>
  <si>
    <t>L5EDDYY01155</t>
  </si>
  <si>
    <t>L5EDDYY01221</t>
  </si>
  <si>
    <t>N2BAAYY00195</t>
  </si>
  <si>
    <t>N2JCA0000148</t>
  </si>
  <si>
    <t>N2JCA0000163</t>
  </si>
  <si>
    <t>N2JCA0000177</t>
  </si>
  <si>
    <t>N2JCA0000181</t>
  </si>
  <si>
    <t>PFYP1019ZE</t>
  </si>
  <si>
    <t>PNBC1491ZD1K108/M1</t>
  </si>
  <si>
    <t>PNBC1519YA/V2</t>
  </si>
  <si>
    <t>PNBC1591ZA1K108/M1</t>
  </si>
  <si>
    <t>PNBC1766ZA3KC15/V1</t>
  </si>
  <si>
    <t>PNBC1766ZB1MA89/V1</t>
  </si>
  <si>
    <t>PNBX1426ZA1MA15/V1</t>
  </si>
  <si>
    <t>PNBX1428ZA1MA15/V1</t>
  </si>
  <si>
    <t>PNBX1456ZB1MC14/V1</t>
  </si>
  <si>
    <t>PNGC1025ZA1K108/V1</t>
  </si>
  <si>
    <t>PNGK1038YB2K108/V2</t>
  </si>
  <si>
    <t>PNGP1138ZB1C100/V2</t>
  </si>
  <si>
    <t>PNGP1281ZA1C100/V2</t>
  </si>
  <si>
    <t>PNGP1364ZA1C100/V1</t>
  </si>
  <si>
    <t>PNGP1400WA7C100/V1</t>
  </si>
  <si>
    <t>PNGP1418SC2W252/V2</t>
  </si>
  <si>
    <t>PNGP1418XC2W252/V2</t>
  </si>
  <si>
    <t>PNGP1419TA/V1</t>
  </si>
  <si>
    <t>PNGP1433YA/V1</t>
  </si>
  <si>
    <t>PNGP1435ZD1K108/V2</t>
  </si>
  <si>
    <t>PNGP1825ZB1MC14/V1</t>
  </si>
  <si>
    <t>PNGP1844ZB1MA89/V1</t>
  </si>
  <si>
    <t>PNGP1846YA/V1</t>
  </si>
  <si>
    <t>PNGP1846ZA/V1</t>
  </si>
  <si>
    <t>PNGP1866ZA1KC15/V1</t>
  </si>
  <si>
    <t>PNGTA432YA/V2</t>
  </si>
  <si>
    <t>PNHD1040ZA-V1</t>
  </si>
  <si>
    <t>PNHG1104ZA/V2</t>
  </si>
  <si>
    <t>PNHG1206ZA/V1</t>
  </si>
  <si>
    <t>PNHG1208ZA/V1</t>
  </si>
  <si>
    <t>PNHG1240ZA/V2</t>
  </si>
  <si>
    <t>PNHG1265ZA/V1</t>
  </si>
  <si>
    <t>PNHG1301YA/V1</t>
  </si>
  <si>
    <t>PNHG1335XA/V1</t>
  </si>
  <si>
    <t>PNHR1950ZA/V1</t>
  </si>
  <si>
    <t>PNHX1281ZA/V1</t>
  </si>
  <si>
    <t>PNHX1711ZA/V2</t>
  </si>
  <si>
    <t>PNHX1712ZA/V2</t>
  </si>
  <si>
    <t>PNHX1713ZA/V2</t>
  </si>
  <si>
    <t>PNJA1116ZA-3A</t>
  </si>
  <si>
    <t>PNJA1117ZA-3A</t>
  </si>
  <si>
    <t>PNJA1118YA-3A</t>
  </si>
  <si>
    <t>PNJA1177ZA-VX</t>
  </si>
  <si>
    <t>PNJE1202ZB/V2</t>
  </si>
  <si>
    <t>PNJE2007ZB/V2</t>
  </si>
  <si>
    <t>PNJJ021001ZA-WJ</t>
  </si>
  <si>
    <t>PNJJ021002ZA-ZD</t>
  </si>
  <si>
    <t>PNJK1098ZA/V2</t>
  </si>
  <si>
    <t>PNJK1140ZA/V2</t>
  </si>
  <si>
    <t>PNJS042051ZA-LR</t>
  </si>
  <si>
    <t>PNJS061010ZB-5R</t>
  </si>
  <si>
    <t>PNJS072011ZB-5R</t>
  </si>
  <si>
    <t>PNJS081034ZB-5R</t>
  </si>
  <si>
    <t>PNKE2202ZA1MC14/V1</t>
  </si>
  <si>
    <t>PNKE2202ZA2MC67/V1</t>
  </si>
  <si>
    <t>PNKM1186ZA1K108/V3</t>
  </si>
  <si>
    <t>PNKM1576YA1K108/V2</t>
  </si>
  <si>
    <t>PNKM1608XD5MA15/M1</t>
  </si>
  <si>
    <t>PNKM1827ZB1MC14/V1</t>
  </si>
  <si>
    <t>PNKV1037ZD1MA92/V2</t>
  </si>
  <si>
    <t>PNLA1037ZA/V1</t>
  </si>
  <si>
    <t>PNLA1168ZA/Z1</t>
  </si>
  <si>
    <t>PNLA1194ZA/M1</t>
  </si>
  <si>
    <t>PNLA1230ZA/V1</t>
  </si>
  <si>
    <t>PNLA1231ZA/V1</t>
  </si>
  <si>
    <t>PNLA1232YA/V1</t>
  </si>
  <si>
    <t>PNLB2157ZA-YY</t>
  </si>
  <si>
    <t>PNLB2171XA-AP</t>
  </si>
  <si>
    <t>PNLB2242ZA-RC</t>
  </si>
  <si>
    <t>PNLB2307YA-GL</t>
  </si>
  <si>
    <t>PNLB2719ZA-GL</t>
  </si>
  <si>
    <t>PNLB2806WA-AP</t>
  </si>
  <si>
    <t>PNLB2927UA-YY</t>
  </si>
  <si>
    <t>PNLV226CE0RA31-ZC</t>
  </si>
  <si>
    <t>PNLV226E0RA31-ZZ</t>
  </si>
  <si>
    <t>PNLV233CEKQA31-ZC</t>
  </si>
  <si>
    <t>PNLV247JP0ZA01-ZZ</t>
  </si>
  <si>
    <t>PNPD1474ZA/V4</t>
  </si>
  <si>
    <t>PNPD2398ZA/V1</t>
  </si>
  <si>
    <t>PNPG2968014ZA/V1</t>
  </si>
  <si>
    <t>PNPG4020003ZA/V1</t>
  </si>
  <si>
    <t>PNPG4021001ZA/V1</t>
  </si>
  <si>
    <t>PNPG4025000ZA/V1</t>
  </si>
  <si>
    <t>PNPG4047002ZA/V1</t>
  </si>
  <si>
    <t>PNPG4047005ZA/V1</t>
  </si>
  <si>
    <t>PNPG4060001ZA/V1</t>
  </si>
  <si>
    <t>PNPK2984010ZA/V1</t>
  </si>
  <si>
    <t>PNPK3897008NA/V3</t>
  </si>
  <si>
    <t>PNPK4207001YA/V2</t>
  </si>
  <si>
    <t>PNPK4298003ZA/V1</t>
  </si>
  <si>
    <t>PNPK4330004ZA/V1</t>
  </si>
  <si>
    <t>PNPK4361002ZA/V1</t>
  </si>
  <si>
    <t>PNPK4361005ZA/V1</t>
  </si>
  <si>
    <t>PNPK4370001ZA/V1</t>
  </si>
  <si>
    <t>PNPK4370002ZA/V1</t>
  </si>
  <si>
    <t>PNPN1594ZA/V1</t>
  </si>
  <si>
    <t>PNQS1780ZA/V1</t>
  </si>
  <si>
    <t>PNQT1026ZA-VU</t>
  </si>
  <si>
    <t>PNQT2768ZA/V1</t>
  </si>
  <si>
    <t>PNQW5046YA/V1</t>
  </si>
  <si>
    <t>PNQW5450ZB/V2</t>
  </si>
  <si>
    <t>PNQX9295YA/V1</t>
  </si>
  <si>
    <t>XZB05X08A04/V2</t>
  </si>
  <si>
    <t>XZB08X25B02/V2</t>
  </si>
  <si>
    <t>XZB10X15A04/V2</t>
  </si>
  <si>
    <t>XZB15X20A04/V3</t>
  </si>
  <si>
    <t>XZB15X24B02</t>
  </si>
  <si>
    <t>XZB15X24B02/V2</t>
  </si>
  <si>
    <t>XZB18X27B02</t>
  </si>
  <si>
    <t>XZB20X35A04/V2</t>
  </si>
  <si>
    <t>XZB23X25A04/V2</t>
  </si>
  <si>
    <t>D0GG1R0JA039</t>
  </si>
  <si>
    <t>G1C1N0ZA0113</t>
  </si>
  <si>
    <t>G1C2R2MA1170</t>
  </si>
  <si>
    <t>L5DYBYY00114</t>
  </si>
  <si>
    <t>PNGP1138ZB2C100/V2</t>
  </si>
  <si>
    <t>PNGP1138ZB6C100/V2</t>
  </si>
  <si>
    <t>PNGT9780EA/V1</t>
  </si>
  <si>
    <t>PNJK1107UA/V1</t>
  </si>
  <si>
    <t>PNKF1138ZA2W252/V2</t>
  </si>
  <si>
    <t>PNKK1053ZA1K108/V1</t>
  </si>
  <si>
    <t>PNKM1186ZA2W252/V3</t>
  </si>
  <si>
    <t>PNLV226AL0NA11-ZC</t>
  </si>
  <si>
    <t>PNLV226TW0NA01-ZC</t>
  </si>
  <si>
    <t>PNPD1812ZA/V3</t>
  </si>
  <si>
    <t>PNPK3647034NA/V2</t>
  </si>
  <si>
    <t>PNPK3715006PA/V3</t>
  </si>
  <si>
    <t>PNPK3715007PA/V3</t>
  </si>
  <si>
    <t>PNPK3839010NA/V3</t>
  </si>
  <si>
    <t>PNPK3896019PA/V3</t>
  </si>
  <si>
    <t>PNPK3896026NA/V3</t>
  </si>
  <si>
    <t>PNPK4330201ZA/V1</t>
  </si>
  <si>
    <t>PNQX9056XA/V1</t>
  </si>
  <si>
    <t>PNQX9057XA/V1</t>
  </si>
  <si>
    <t>PNQX9242YA/V1</t>
  </si>
  <si>
    <t>PNVE1021ZA/V1</t>
  </si>
  <si>
    <t>PNYF1129XA6N178/V3</t>
  </si>
  <si>
    <t>PSPG1185YA/V3</t>
  </si>
  <si>
    <t>32-1972000</t>
  </si>
  <si>
    <t>38-7921110</t>
  </si>
  <si>
    <t>AJ-170110</t>
  </si>
  <si>
    <t>ARAGRF100030</t>
  </si>
  <si>
    <t>ARAHCFB00310</t>
  </si>
  <si>
    <t>ARATANB00110</t>
  </si>
  <si>
    <t>ARATAPJ00040</t>
  </si>
  <si>
    <t>ARBGHA402056</t>
  </si>
  <si>
    <t>ARBGHA402673</t>
  </si>
  <si>
    <t>ARBGSA200547</t>
  </si>
  <si>
    <t>ARBGSA202012</t>
  </si>
  <si>
    <t>ARBGSA202221</t>
  </si>
  <si>
    <t>AWW2106C0100</t>
  </si>
  <si>
    <t>AWW2475D5MC0-KC5</t>
  </si>
  <si>
    <t>B0AAMV000030</t>
  </si>
  <si>
    <t>B0ACCK000005</t>
  </si>
  <si>
    <t>B0BC5R1A0380</t>
  </si>
  <si>
    <t>B0ECKM000038</t>
  </si>
  <si>
    <t>B1ABCF000012</t>
  </si>
  <si>
    <t>B1CHRD000092</t>
  </si>
  <si>
    <t>B1GHCFEN0007</t>
  </si>
  <si>
    <t>C0DBAYY01639</t>
  </si>
  <si>
    <t>C0GBY0000321</t>
  </si>
  <si>
    <t>C0JBAB000734</t>
  </si>
  <si>
    <t>D0GA103JA015</t>
  </si>
  <si>
    <t>D0GA105JA023</t>
  </si>
  <si>
    <t>D0GA183ZA007</t>
  </si>
  <si>
    <t>D0GA223JA023</t>
  </si>
  <si>
    <t>D0GB102JA007</t>
  </si>
  <si>
    <t>D0GB106JA065</t>
  </si>
  <si>
    <t>D0GB511JA007</t>
  </si>
  <si>
    <t>D0GB561JA007</t>
  </si>
  <si>
    <t>D0GB561JA041</t>
  </si>
  <si>
    <t>D0GF220JA048</t>
  </si>
  <si>
    <t>D0GG104JA045</t>
  </si>
  <si>
    <t>D1AER0470001</t>
  </si>
  <si>
    <t>D1BA1102A023</t>
  </si>
  <si>
    <t>D1BA4302A023</t>
  </si>
  <si>
    <t>D1BB1202A055</t>
  </si>
  <si>
    <t>D1BB2201A055</t>
  </si>
  <si>
    <t>F0C2J103A229</t>
  </si>
  <si>
    <t>F1B3A332A122</t>
  </si>
  <si>
    <t>F1G1E105A186</t>
  </si>
  <si>
    <t>F1G1E105A194</t>
  </si>
  <si>
    <t>F1G1H471A541</t>
  </si>
  <si>
    <t>F1L1E103A200</t>
  </si>
  <si>
    <t>G1C330MA0989</t>
  </si>
  <si>
    <t>G1C4R7ZA0365</t>
  </si>
  <si>
    <t>G4DYA0001295</t>
  </si>
  <si>
    <t>H0A800400017</t>
  </si>
  <si>
    <t>K1KY08AA1566</t>
  </si>
  <si>
    <t>K1KY10AA1268</t>
  </si>
  <si>
    <t>L2DF00000039</t>
  </si>
  <si>
    <t>PJPEC0007ZA/V2</t>
  </si>
  <si>
    <t>XZB25X35A04</t>
  </si>
  <si>
    <t>AWS2449AAAA0-0C0</t>
  </si>
  <si>
    <t>AWW2431CGQC0-0C0</t>
  </si>
  <si>
    <t>B0ACCK000018</t>
  </si>
  <si>
    <t>B0ADCJ000015</t>
  </si>
  <si>
    <t>B0ADDJ000044</t>
  </si>
  <si>
    <t>B0ADDK000002</t>
  </si>
  <si>
    <t>B1ABGE000028</t>
  </si>
  <si>
    <t>B1ADCF000271</t>
  </si>
  <si>
    <t>B1DFDM000013</t>
  </si>
  <si>
    <t>B1GBCFGN0001</t>
  </si>
  <si>
    <t>C0DBBYY00140</t>
  </si>
  <si>
    <t>D0GG560JA039</t>
  </si>
  <si>
    <t>D1BA1002A117</t>
  </si>
  <si>
    <t>D1BA62000003</t>
  </si>
  <si>
    <t>D1BB2201A143</t>
  </si>
  <si>
    <t>D1BB3001A317</t>
  </si>
  <si>
    <t>DRC2123J0L</t>
  </si>
  <si>
    <t>F0C3B103A054</t>
  </si>
  <si>
    <t>F1B2E101A076</t>
  </si>
  <si>
    <t>F1G1E104A059</t>
  </si>
  <si>
    <t>F1G1H102A541</t>
  </si>
  <si>
    <t>F1G1H104A983</t>
  </si>
  <si>
    <t>F1G1H472A830</t>
  </si>
  <si>
    <t>F1H1H220B043</t>
  </si>
  <si>
    <t>F1J1E106A253</t>
  </si>
  <si>
    <t>F2A0J681B295</t>
  </si>
  <si>
    <t>G0C3R3K00010</t>
  </si>
  <si>
    <t>H2A4004A0035</t>
  </si>
  <si>
    <t>H2C8004A0092</t>
  </si>
  <si>
    <t>J0JDC0000054</t>
  </si>
  <si>
    <t>K1KY03A00097</t>
  </si>
  <si>
    <t>K1MY13AA0425</t>
  </si>
  <si>
    <t>K1YA06000079</t>
  </si>
  <si>
    <t>VG01</t>
  </si>
  <si>
    <t>VB01</t>
  </si>
  <si>
    <t>VE01</t>
  </si>
  <si>
    <t>VR01</t>
  </si>
  <si>
    <t>KAM000</t>
  </si>
  <si>
    <t>KAJ000</t>
  </si>
  <si>
    <t>KAS000</t>
  </si>
  <si>
    <t>KAC000</t>
  </si>
  <si>
    <t>KA6000</t>
  </si>
  <si>
    <t>KA2000</t>
  </si>
  <si>
    <t>KAX000</t>
  </si>
  <si>
    <t>KAW000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</si>
</sst>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7">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1"/>
      <color theme="1"/>
      <name val="ＭＳ Ｐゴシック"/>
      <family val="3"/>
      <charset val="128"/>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bottom style="hair">
        <color indexed="64"/>
      </bottom>
      <diagonal/>
    </border>
  </borders>
  <cellStyleXfs count="2">
    <xf numFmtId="0" fontId="0" fillId="0" borderId="0"/>
    <xf numFmtId="41" fontId="5" fillId="0" borderId="0" applyFont="0" applyFill="0" applyBorder="0" applyAlignment="0" applyProtection="0"/>
  </cellStyleXfs>
  <cellXfs count="8">
    <xf numFmtId="0" fontId="0" fillId="0" borderId="0" xfId="0"/>
    <xf numFmtId="0" fontId="0" fillId="2" borderId="0" xfId="0" applyFill="1"/>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6" fillId="0" borderId="1" xfId="0" applyFont="1" applyBorder="1" applyProtection="1">
      <protection locked="0"/>
    </xf>
    <xf numFmtId="0" fontId="6" fillId="0" borderId="1" xfId="0" applyFont="1" applyBorder="1" applyAlignment="1" applyProtection="1">
      <alignment horizontal="center" shrinkToFit="1"/>
      <protection locked="0"/>
    </xf>
    <xf numFmtId="40" fontId="6" fillId="0" borderId="1" xfId="1" applyNumberFormat="1" applyFont="1" applyBorder="1" applyProtection="1">
      <protection locked="0"/>
    </xf>
  </cellXfs>
  <cellStyles count="2">
    <cellStyle name="Comma [0]" xfId="1" builtinId="6"/>
    <cellStyle name="Normal" xfId="0" builtinId="0"/>
  </cellStyles>
  <dxfs count="5">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2"/>
  <sheetViews>
    <sheetView tabSelected="1" workbookViewId="0">
      <selection activeCell="I12" sqref="I12"/>
    </sheetView>
  </sheetViews>
  <sheetFormatPr defaultRowHeight="14.5"/>
  <cols>
    <col min="1" max="1" width="9.54296875" customWidth="1"/>
    <col min="2" max="2" width="26.7265625" customWidth="1"/>
    <col min="5" max="5" width="11" customWidth="1"/>
    <col min="7" max="7" width="13.7265625" customWidth="1"/>
    <col min="8" max="8" width="15.7265625" customWidth="1"/>
    <col min="9" max="9" width="18.7265625" customWidth="1"/>
    <col min="10" max="10" width="11.81640625" customWidth="1"/>
    <col min="12" max="13" width="21" customWidth="1"/>
    <col min="14" max="14" width="15.26953125" customWidth="1"/>
  </cols>
  <sheetData>
    <row r="1" spans="1:14" ht="33.75" customHeight="1">
      <c r="A1" s="2" t="s">
        <v>2</v>
      </c>
      <c r="B1" s="2" t="s">
        <v>1</v>
      </c>
      <c r="C1" s="2" t="s">
        <v>0</v>
      </c>
      <c r="D1" s="2" t="s">
        <v>6</v>
      </c>
      <c r="E1" s="2" t="s">
        <v>9</v>
      </c>
      <c r="F1" s="2" t="s">
        <v>3</v>
      </c>
      <c r="G1" s="2" t="s">
        <v>10</v>
      </c>
      <c r="H1" s="2" t="s">
        <v>4</v>
      </c>
      <c r="I1" s="2" t="s">
        <v>5</v>
      </c>
      <c r="J1" s="2" t="s">
        <v>7</v>
      </c>
      <c r="K1" s="2" t="s">
        <v>8</v>
      </c>
      <c r="L1" s="2" t="s">
        <v>15</v>
      </c>
      <c r="M1" s="2" t="s">
        <v>16</v>
      </c>
      <c r="N1" s="3" t="s">
        <v>11</v>
      </c>
    </row>
    <row r="2" spans="1:14" ht="30" customHeight="1">
      <c r="A2" s="4">
        <v>1</v>
      </c>
      <c r="B2" s="5" t="s">
        <v>97</v>
      </c>
      <c r="C2" s="6">
        <v>6699</v>
      </c>
      <c r="D2" s="7">
        <v>2</v>
      </c>
      <c r="E2">
        <v>12.295999999999999</v>
      </c>
      <c r="F2" s="1">
        <v>201</v>
      </c>
      <c r="G2" s="1" t="str">
        <f>VLOOKUP(F2,'Master(Ko Xóa)'!$F$2:$H$158,3,0)</f>
        <v>Out</v>
      </c>
      <c r="H2" s="6" t="s">
        <v>1105</v>
      </c>
      <c r="I2" s="6" t="s">
        <v>1109</v>
      </c>
      <c r="J2" t="s">
        <v>14</v>
      </c>
      <c r="L2" t="s">
        <v>17</v>
      </c>
      <c r="M2" t="s">
        <v>18</v>
      </c>
      <c r="N2" s="1"/>
    </row>
    <row r="3" spans="1:14">
      <c r="A3" s="4">
        <v>1</v>
      </c>
      <c r="B3" s="5" t="s">
        <v>98</v>
      </c>
      <c r="C3" s="6">
        <v>6699</v>
      </c>
      <c r="D3" s="7">
        <v>1</v>
      </c>
      <c r="E3">
        <v>1.1637999999999999</v>
      </c>
      <c r="F3" s="1">
        <v>201</v>
      </c>
      <c r="G3" s="1" t="str">
        <f>VLOOKUP(F3,'Master(Ko Xóa)'!$F$2:$H$158,3,0)</f>
        <v>Out</v>
      </c>
      <c r="H3" s="6" t="s">
        <v>1105</v>
      </c>
      <c r="I3" s="6" t="s">
        <v>1109</v>
      </c>
    </row>
    <row r="4" spans="1:14">
      <c r="A4" s="4">
        <v>1</v>
      </c>
      <c r="B4" s="5" t="s">
        <v>99</v>
      </c>
      <c r="C4" s="6">
        <v>6699</v>
      </c>
      <c r="D4" s="7">
        <v>1</v>
      </c>
      <c r="E4">
        <v>1.3102</v>
      </c>
      <c r="F4" s="1">
        <v>201</v>
      </c>
      <c r="G4" s="1" t="str">
        <f>VLOOKUP(F4,'Master(Ko Xóa)'!$F$2:$H$158,3,0)</f>
        <v>Out</v>
      </c>
      <c r="H4" s="6" t="s">
        <v>1105</v>
      </c>
      <c r="I4" s="6" t="s">
        <v>1109</v>
      </c>
    </row>
    <row r="5" spans="1:14">
      <c r="A5" s="4">
        <v>1</v>
      </c>
      <c r="B5" s="5" t="s">
        <v>100</v>
      </c>
      <c r="C5" s="6">
        <v>6699</v>
      </c>
      <c r="D5" s="7">
        <v>1</v>
      </c>
      <c r="E5">
        <v>2.2448000000000001</v>
      </c>
      <c r="F5" s="1">
        <v>201</v>
      </c>
      <c r="G5" s="1" t="str">
        <f>VLOOKUP(F5,'Master(Ko Xóa)'!$F$2:$H$158,3,0)</f>
        <v>Out</v>
      </c>
      <c r="H5" s="6" t="s">
        <v>1105</v>
      </c>
      <c r="I5" s="6" t="s">
        <v>1109</v>
      </c>
    </row>
    <row r="6" spans="1:14">
      <c r="A6" s="4">
        <v>1</v>
      </c>
      <c r="B6" s="5" t="s">
        <v>101</v>
      </c>
      <c r="C6" s="6">
        <v>6699</v>
      </c>
      <c r="D6" s="7">
        <v>1</v>
      </c>
      <c r="E6">
        <v>1.6579999999999999</v>
      </c>
      <c r="F6" s="1">
        <v>201</v>
      </c>
      <c r="G6" s="1" t="str">
        <f>VLOOKUP(F6,'Master(Ko Xóa)'!$F$2:$H$158,3,0)</f>
        <v>Out</v>
      </c>
      <c r="H6" s="6" t="s">
        <v>1105</v>
      </c>
      <c r="I6" s="6" t="s">
        <v>1109</v>
      </c>
    </row>
    <row r="7" spans="1:14">
      <c r="A7" s="4">
        <v>1</v>
      </c>
      <c r="B7" s="5" t="s">
        <v>102</v>
      </c>
      <c r="C7" s="6">
        <v>6699</v>
      </c>
      <c r="D7" s="7">
        <v>1</v>
      </c>
      <c r="E7">
        <v>5.2736000000000001</v>
      </c>
      <c r="F7" s="1">
        <v>201</v>
      </c>
      <c r="G7" s="1" t="str">
        <f>VLOOKUP(F7,'Master(Ko Xóa)'!$F$2:$H$158,3,0)</f>
        <v>Out</v>
      </c>
      <c r="H7" s="6" t="s">
        <v>1105</v>
      </c>
      <c r="I7" s="6" t="s">
        <v>1109</v>
      </c>
    </row>
    <row r="8" spans="1:14">
      <c r="A8" s="4">
        <v>1</v>
      </c>
      <c r="B8" s="5" t="s">
        <v>103</v>
      </c>
      <c r="C8" s="6">
        <v>6699</v>
      </c>
      <c r="D8" s="7">
        <v>1</v>
      </c>
      <c r="E8">
        <v>0.15628999999999998</v>
      </c>
      <c r="F8" s="1">
        <v>201</v>
      </c>
      <c r="G8" s="1" t="str">
        <f>VLOOKUP(F8,'Master(Ko Xóa)'!$F$2:$H$158,3,0)</f>
        <v>Out</v>
      </c>
      <c r="H8" s="6" t="s">
        <v>1105</v>
      </c>
      <c r="I8" s="6" t="s">
        <v>1109</v>
      </c>
    </row>
    <row r="9" spans="1:14">
      <c r="A9" s="4">
        <v>1</v>
      </c>
      <c r="B9" s="5" t="s">
        <v>104</v>
      </c>
      <c r="C9" s="6">
        <v>6699</v>
      </c>
      <c r="D9" s="7">
        <v>1</v>
      </c>
      <c r="E9">
        <v>7.5421000000000005</v>
      </c>
      <c r="F9" s="1">
        <v>201</v>
      </c>
      <c r="G9" s="1" t="str">
        <f>VLOOKUP(F9,'Master(Ko Xóa)'!$F$2:$H$158,3,0)</f>
        <v>Out</v>
      </c>
      <c r="H9" s="6" t="s">
        <v>1105</v>
      </c>
      <c r="I9" s="6" t="s">
        <v>1109</v>
      </c>
    </row>
    <row r="10" spans="1:14">
      <c r="A10" s="4">
        <v>1</v>
      </c>
      <c r="B10" s="5" t="s">
        <v>105</v>
      </c>
      <c r="C10" s="6">
        <v>6699</v>
      </c>
      <c r="D10" s="7">
        <v>1</v>
      </c>
      <c r="E10">
        <v>6.3661400000000006</v>
      </c>
      <c r="F10" s="1">
        <v>201</v>
      </c>
      <c r="G10" s="1" t="str">
        <f>VLOOKUP(F10,'Master(Ko Xóa)'!$F$2:$H$158,3,0)</f>
        <v>Out</v>
      </c>
      <c r="H10" s="6" t="s">
        <v>1105</v>
      </c>
      <c r="I10" s="6" t="s">
        <v>1109</v>
      </c>
    </row>
    <row r="11" spans="1:14">
      <c r="A11" s="4">
        <v>1</v>
      </c>
      <c r="B11" s="5" t="s">
        <v>106</v>
      </c>
      <c r="C11" s="6">
        <v>6699</v>
      </c>
      <c r="D11" s="7">
        <v>1</v>
      </c>
      <c r="E11">
        <v>3.5424000000000002</v>
      </c>
      <c r="F11" s="1">
        <v>201</v>
      </c>
      <c r="G11" s="1" t="str">
        <f>VLOOKUP(F11,'Master(Ko Xóa)'!$F$2:$H$158,3,0)</f>
        <v>Out</v>
      </c>
      <c r="H11" s="6" t="s">
        <v>1105</v>
      </c>
      <c r="I11" s="6" t="s">
        <v>1109</v>
      </c>
    </row>
    <row r="12" spans="1:14">
      <c r="A12" s="4">
        <v>1</v>
      </c>
      <c r="B12" s="5" t="s">
        <v>107</v>
      </c>
      <c r="C12" s="6">
        <v>6699</v>
      </c>
      <c r="D12" s="7">
        <v>1</v>
      </c>
      <c r="E12">
        <v>0.17638999999999999</v>
      </c>
      <c r="F12" s="1">
        <v>201</v>
      </c>
      <c r="G12" s="1" t="str">
        <f>VLOOKUP(F12,'Master(Ko Xóa)'!$F$2:$H$158,3,0)</f>
        <v>Out</v>
      </c>
      <c r="H12" s="6" t="s">
        <v>1105</v>
      </c>
      <c r="I12" s="6" t="s">
        <v>1109</v>
      </c>
    </row>
    <row r="13" spans="1:14">
      <c r="A13" s="4">
        <v>1</v>
      </c>
      <c r="B13" s="5" t="s">
        <v>108</v>
      </c>
      <c r="C13" s="6">
        <v>6699</v>
      </c>
      <c r="D13" s="7">
        <v>1</v>
      </c>
      <c r="E13">
        <v>0.70950000000000002</v>
      </c>
      <c r="F13" s="1">
        <v>201</v>
      </c>
      <c r="G13" s="1" t="str">
        <f>VLOOKUP(F13,'Master(Ko Xóa)'!$F$2:$H$158,3,0)</f>
        <v>Out</v>
      </c>
      <c r="H13" s="6" t="s">
        <v>1105</v>
      </c>
      <c r="I13" s="6" t="s">
        <v>1109</v>
      </c>
    </row>
    <row r="14" spans="1:14">
      <c r="A14" s="4">
        <v>1</v>
      </c>
      <c r="B14" s="5" t="s">
        <v>109</v>
      </c>
      <c r="C14" s="6">
        <v>6699</v>
      </c>
      <c r="D14" s="7">
        <v>1</v>
      </c>
      <c r="E14">
        <v>18.556699999999999</v>
      </c>
      <c r="F14" s="1">
        <v>201</v>
      </c>
      <c r="G14" s="1" t="str">
        <f>VLOOKUP(F14,'Master(Ko Xóa)'!$F$2:$H$158,3,0)</f>
        <v>Out</v>
      </c>
      <c r="H14" s="6" t="s">
        <v>1105</v>
      </c>
      <c r="I14" s="6" t="s">
        <v>1109</v>
      </c>
    </row>
    <row r="15" spans="1:14">
      <c r="A15" s="4">
        <v>1</v>
      </c>
      <c r="B15" s="5" t="s">
        <v>110</v>
      </c>
      <c r="C15" s="6">
        <v>6699</v>
      </c>
      <c r="D15" s="7">
        <v>1</v>
      </c>
      <c r="E15">
        <v>10.96907</v>
      </c>
      <c r="F15" s="1">
        <v>201</v>
      </c>
      <c r="G15" s="1" t="str">
        <f>VLOOKUP(F15,'Master(Ko Xóa)'!$F$2:$H$158,3,0)</f>
        <v>Out</v>
      </c>
      <c r="H15" s="6" t="s">
        <v>1105</v>
      </c>
      <c r="I15" s="6" t="s">
        <v>1109</v>
      </c>
    </row>
    <row r="16" spans="1:14">
      <c r="A16" s="4">
        <v>1</v>
      </c>
      <c r="B16" s="5" t="s">
        <v>111</v>
      </c>
      <c r="C16" s="6">
        <v>6699</v>
      </c>
      <c r="D16" s="7">
        <v>1</v>
      </c>
      <c r="E16">
        <v>3.6289999999999996E-2</v>
      </c>
      <c r="F16" s="1">
        <v>201</v>
      </c>
      <c r="G16" s="1" t="str">
        <f>VLOOKUP(F16,'Master(Ko Xóa)'!$F$2:$H$158,3,0)</f>
        <v>Out</v>
      </c>
      <c r="H16" s="6" t="s">
        <v>1105</v>
      </c>
      <c r="I16" s="6" t="s">
        <v>1109</v>
      </c>
    </row>
    <row r="17" spans="1:9">
      <c r="A17" s="4">
        <v>1</v>
      </c>
      <c r="B17" s="5" t="s">
        <v>112</v>
      </c>
      <c r="C17" s="6">
        <v>6699</v>
      </c>
      <c r="D17" s="7">
        <v>1</v>
      </c>
      <c r="E17">
        <v>1.0380400000000001</v>
      </c>
      <c r="F17" s="1">
        <v>201</v>
      </c>
      <c r="G17" s="1" t="str">
        <f>VLOOKUP(F17,'Master(Ko Xóa)'!$F$2:$H$158,3,0)</f>
        <v>Out</v>
      </c>
      <c r="H17" s="6" t="s">
        <v>1105</v>
      </c>
      <c r="I17" s="6" t="s">
        <v>1109</v>
      </c>
    </row>
    <row r="18" spans="1:9">
      <c r="A18" s="4">
        <v>1</v>
      </c>
      <c r="B18" s="5" t="s">
        <v>113</v>
      </c>
      <c r="C18" s="6">
        <v>6699</v>
      </c>
      <c r="D18" s="7">
        <v>1</v>
      </c>
      <c r="E18">
        <v>0.60424</v>
      </c>
      <c r="F18" s="1">
        <v>201</v>
      </c>
      <c r="G18" s="1" t="str">
        <f>VLOOKUP(F18,'Master(Ko Xóa)'!$F$2:$H$158,3,0)</f>
        <v>Out</v>
      </c>
      <c r="H18" s="6" t="s">
        <v>1105</v>
      </c>
      <c r="I18" s="6" t="s">
        <v>1109</v>
      </c>
    </row>
    <row r="19" spans="1:9">
      <c r="A19" s="4">
        <v>1</v>
      </c>
      <c r="B19" s="5" t="s">
        <v>114</v>
      </c>
      <c r="C19" s="6">
        <v>6699</v>
      </c>
      <c r="D19" s="7">
        <v>9</v>
      </c>
      <c r="E19">
        <v>2.7439199999999997</v>
      </c>
      <c r="F19" s="1">
        <v>201</v>
      </c>
      <c r="G19" s="1" t="str">
        <f>VLOOKUP(F19,'Master(Ko Xóa)'!$F$2:$H$158,3,0)</f>
        <v>Out</v>
      </c>
      <c r="H19" s="6" t="s">
        <v>1105</v>
      </c>
      <c r="I19" s="6" t="s">
        <v>1109</v>
      </c>
    </row>
    <row r="20" spans="1:9">
      <c r="A20" s="4">
        <v>1</v>
      </c>
      <c r="B20" s="5" t="s">
        <v>115</v>
      </c>
      <c r="C20" s="6">
        <v>6699</v>
      </c>
      <c r="D20" s="7">
        <v>1</v>
      </c>
      <c r="E20">
        <v>7.44</v>
      </c>
      <c r="F20" s="1">
        <v>201</v>
      </c>
      <c r="G20" s="1" t="str">
        <f>VLOOKUP(F20,'Master(Ko Xóa)'!$F$2:$H$158,3,0)</f>
        <v>Out</v>
      </c>
      <c r="H20" s="6" t="s">
        <v>1105</v>
      </c>
      <c r="I20" s="6" t="s">
        <v>1109</v>
      </c>
    </row>
    <row r="21" spans="1:9">
      <c r="A21" s="4">
        <v>1</v>
      </c>
      <c r="B21" s="5" t="s">
        <v>116</v>
      </c>
      <c r="C21" s="6">
        <v>6699</v>
      </c>
      <c r="D21" s="7">
        <v>9</v>
      </c>
      <c r="E21">
        <v>0.95975999999999995</v>
      </c>
      <c r="F21" s="1">
        <v>201</v>
      </c>
      <c r="G21" s="1" t="str">
        <f>VLOOKUP(F21,'Master(Ko Xóa)'!$F$2:$H$158,3,0)</f>
        <v>Out</v>
      </c>
      <c r="H21" s="6" t="s">
        <v>1105</v>
      </c>
      <c r="I21" s="6" t="s">
        <v>1109</v>
      </c>
    </row>
    <row r="22" spans="1:9">
      <c r="A22" s="4">
        <v>1</v>
      </c>
      <c r="B22" s="5" t="s">
        <v>117</v>
      </c>
      <c r="C22" s="6">
        <v>6699</v>
      </c>
      <c r="D22" s="7">
        <v>1</v>
      </c>
      <c r="E22">
        <v>0.23809</v>
      </c>
      <c r="F22" s="1">
        <v>201</v>
      </c>
      <c r="G22" s="1" t="str">
        <f>VLOOKUP(F22,'Master(Ko Xóa)'!$F$2:$H$158,3,0)</f>
        <v>Out</v>
      </c>
      <c r="H22" s="6" t="s">
        <v>1105</v>
      </c>
      <c r="I22" s="6" t="s">
        <v>1109</v>
      </c>
    </row>
    <row r="23" spans="1:9">
      <c r="A23" s="4">
        <v>1</v>
      </c>
      <c r="B23" s="5" t="s">
        <v>118</v>
      </c>
      <c r="C23" s="6">
        <v>6699</v>
      </c>
      <c r="D23" s="7">
        <v>1</v>
      </c>
      <c r="E23">
        <v>0.92188999999999999</v>
      </c>
      <c r="F23" s="1">
        <v>201</v>
      </c>
      <c r="G23" s="1" t="str">
        <f>VLOOKUP(F23,'Master(Ko Xóa)'!$F$2:$H$158,3,0)</f>
        <v>Out</v>
      </c>
      <c r="H23" s="6" t="s">
        <v>1105</v>
      </c>
      <c r="I23" s="6" t="s">
        <v>1109</v>
      </c>
    </row>
    <row r="24" spans="1:9">
      <c r="A24" s="4">
        <v>1</v>
      </c>
      <c r="B24" s="5" t="s">
        <v>119</v>
      </c>
      <c r="C24" s="6">
        <v>6699</v>
      </c>
      <c r="D24" s="7">
        <v>1</v>
      </c>
      <c r="E24">
        <v>6.5888999999999998</v>
      </c>
      <c r="F24" s="1">
        <v>201</v>
      </c>
      <c r="G24" s="1" t="str">
        <f>VLOOKUP(F24,'Master(Ko Xóa)'!$F$2:$H$158,3,0)</f>
        <v>Out</v>
      </c>
      <c r="H24" s="6" t="s">
        <v>1105</v>
      </c>
      <c r="I24" s="6" t="s">
        <v>1109</v>
      </c>
    </row>
    <row r="25" spans="1:9">
      <c r="A25" s="4">
        <v>1</v>
      </c>
      <c r="B25" s="5" t="s">
        <v>120</v>
      </c>
      <c r="C25" s="6">
        <v>6699</v>
      </c>
      <c r="D25" s="7">
        <v>1</v>
      </c>
      <c r="E25">
        <v>5.7580600000000004</v>
      </c>
      <c r="F25" s="1">
        <v>201</v>
      </c>
      <c r="G25" s="1" t="str">
        <f>VLOOKUP(F25,'Master(Ko Xóa)'!$F$2:$H$158,3,0)</f>
        <v>Out</v>
      </c>
      <c r="H25" s="6" t="s">
        <v>1105</v>
      </c>
      <c r="I25" s="6" t="s">
        <v>1109</v>
      </c>
    </row>
    <row r="26" spans="1:9">
      <c r="A26" s="4">
        <v>1</v>
      </c>
      <c r="B26" s="5" t="s">
        <v>121</v>
      </c>
      <c r="C26" s="6">
        <v>6699</v>
      </c>
      <c r="D26" s="7">
        <v>1</v>
      </c>
      <c r="E26">
        <v>6.16289</v>
      </c>
      <c r="F26" s="1">
        <v>201</v>
      </c>
      <c r="G26" s="1" t="str">
        <f>VLOOKUP(F26,'Master(Ko Xóa)'!$F$2:$H$158,3,0)</f>
        <v>Out</v>
      </c>
      <c r="H26" s="6" t="s">
        <v>1105</v>
      </c>
      <c r="I26" s="6" t="s">
        <v>1109</v>
      </c>
    </row>
    <row r="27" spans="1:9">
      <c r="A27" s="4">
        <v>1</v>
      </c>
      <c r="B27" s="5" t="s">
        <v>122</v>
      </c>
      <c r="C27" s="6">
        <v>6699</v>
      </c>
      <c r="D27" s="7">
        <v>1</v>
      </c>
      <c r="E27">
        <v>0.42</v>
      </c>
      <c r="F27" s="1">
        <v>201</v>
      </c>
      <c r="G27" s="1" t="str">
        <f>VLOOKUP(F27,'Master(Ko Xóa)'!$F$2:$H$158,3,0)</f>
        <v>Out</v>
      </c>
      <c r="H27" s="6" t="s">
        <v>1105</v>
      </c>
      <c r="I27" s="6" t="s">
        <v>1109</v>
      </c>
    </row>
    <row r="28" spans="1:9">
      <c r="A28" s="4">
        <v>1</v>
      </c>
      <c r="B28" s="5" t="s">
        <v>123</v>
      </c>
      <c r="C28" s="6">
        <v>6699</v>
      </c>
      <c r="D28" s="7">
        <v>1</v>
      </c>
      <c r="E28">
        <v>0.39</v>
      </c>
      <c r="F28" s="1">
        <v>201</v>
      </c>
      <c r="G28" s="1" t="str">
        <f>VLOOKUP(F28,'Master(Ko Xóa)'!$F$2:$H$158,3,0)</f>
        <v>Out</v>
      </c>
      <c r="H28" s="6" t="s">
        <v>1105</v>
      </c>
      <c r="I28" s="6" t="s">
        <v>1109</v>
      </c>
    </row>
    <row r="29" spans="1:9">
      <c r="A29" s="4">
        <v>1</v>
      </c>
      <c r="B29" s="5" t="s">
        <v>124</v>
      </c>
      <c r="C29" s="6">
        <v>6699</v>
      </c>
      <c r="D29" s="7">
        <v>1</v>
      </c>
      <c r="E29">
        <v>1.41551</v>
      </c>
      <c r="F29" s="1">
        <v>201</v>
      </c>
      <c r="G29" s="1" t="str">
        <f>VLOOKUP(F29,'Master(Ko Xóa)'!$F$2:$H$158,3,0)</f>
        <v>Out</v>
      </c>
      <c r="H29" s="6" t="s">
        <v>1105</v>
      </c>
      <c r="I29" s="6" t="s">
        <v>1109</v>
      </c>
    </row>
    <row r="30" spans="1:9">
      <c r="A30" s="4">
        <v>1</v>
      </c>
      <c r="B30" s="5" t="s">
        <v>125</v>
      </c>
      <c r="C30" s="6">
        <v>6699</v>
      </c>
      <c r="D30" s="7">
        <v>10</v>
      </c>
      <c r="E30">
        <v>9.8000000000000018E-2</v>
      </c>
      <c r="F30" s="1">
        <v>201</v>
      </c>
      <c r="G30" s="1" t="str">
        <f>VLOOKUP(F30,'Master(Ko Xóa)'!$F$2:$H$158,3,0)</f>
        <v>Out</v>
      </c>
      <c r="H30" s="6" t="s">
        <v>1105</v>
      </c>
      <c r="I30" s="6" t="s">
        <v>1109</v>
      </c>
    </row>
    <row r="31" spans="1:9">
      <c r="A31" s="4">
        <v>1</v>
      </c>
      <c r="B31" s="5" t="s">
        <v>126</v>
      </c>
      <c r="C31" s="6">
        <v>6699</v>
      </c>
      <c r="D31" s="7">
        <v>5</v>
      </c>
      <c r="E31">
        <v>4.6500000000000007E-2</v>
      </c>
      <c r="F31" s="1">
        <v>201</v>
      </c>
      <c r="G31" s="1" t="str">
        <f>VLOOKUP(F31,'Master(Ko Xóa)'!$F$2:$H$158,3,0)</f>
        <v>Out</v>
      </c>
      <c r="H31" s="6" t="s">
        <v>1105</v>
      </c>
      <c r="I31" s="6" t="s">
        <v>1109</v>
      </c>
    </row>
    <row r="32" spans="1:9">
      <c r="A32" s="4">
        <v>1</v>
      </c>
      <c r="B32" s="5" t="s">
        <v>127</v>
      </c>
      <c r="C32" s="6">
        <v>6699</v>
      </c>
      <c r="D32" s="7">
        <v>5</v>
      </c>
      <c r="E32">
        <v>0.05</v>
      </c>
      <c r="F32" s="1">
        <v>201</v>
      </c>
      <c r="G32" s="1" t="str">
        <f>VLOOKUP(F32,'Master(Ko Xóa)'!$F$2:$H$158,3,0)</f>
        <v>Out</v>
      </c>
      <c r="H32" s="6" t="s">
        <v>1105</v>
      </c>
      <c r="I32" s="6" t="s">
        <v>1109</v>
      </c>
    </row>
    <row r="33" spans="1:9">
      <c r="A33" s="4">
        <v>1</v>
      </c>
      <c r="B33" s="5" t="s">
        <v>128</v>
      </c>
      <c r="C33" s="6">
        <v>6699</v>
      </c>
      <c r="D33" s="7">
        <v>10</v>
      </c>
      <c r="E33">
        <v>5.57E-2</v>
      </c>
      <c r="F33" s="1">
        <v>201</v>
      </c>
      <c r="G33" s="1" t="str">
        <f>VLOOKUP(F33,'Master(Ko Xóa)'!$F$2:$H$158,3,0)</f>
        <v>Out</v>
      </c>
      <c r="H33" s="6" t="s">
        <v>1105</v>
      </c>
      <c r="I33" s="6" t="s">
        <v>1109</v>
      </c>
    </row>
    <row r="34" spans="1:9">
      <c r="A34" s="4">
        <v>1</v>
      </c>
      <c r="B34" s="5" t="s">
        <v>129</v>
      </c>
      <c r="C34" s="6">
        <v>6699</v>
      </c>
      <c r="D34" s="7">
        <v>10</v>
      </c>
      <c r="E34">
        <v>5.2299999999999999E-2</v>
      </c>
      <c r="F34" s="1">
        <v>201</v>
      </c>
      <c r="G34" s="1" t="str">
        <f>VLOOKUP(F34,'Master(Ko Xóa)'!$F$2:$H$158,3,0)</f>
        <v>Out</v>
      </c>
      <c r="H34" s="6" t="s">
        <v>1105</v>
      </c>
      <c r="I34" s="6" t="s">
        <v>1109</v>
      </c>
    </row>
    <row r="35" spans="1:9">
      <c r="A35" s="4">
        <v>1</v>
      </c>
      <c r="B35" s="5" t="s">
        <v>130</v>
      </c>
      <c r="C35" s="6">
        <v>6699</v>
      </c>
      <c r="D35" s="7">
        <v>5</v>
      </c>
      <c r="E35">
        <v>0.11465</v>
      </c>
      <c r="F35" s="1">
        <v>201</v>
      </c>
      <c r="G35" s="1" t="str">
        <f>VLOOKUP(F35,'Master(Ko Xóa)'!$F$2:$H$158,3,0)</f>
        <v>Out</v>
      </c>
      <c r="H35" s="6" t="s">
        <v>1105</v>
      </c>
      <c r="I35" s="6" t="s">
        <v>1109</v>
      </c>
    </row>
    <row r="36" spans="1:9">
      <c r="A36" s="4">
        <v>1</v>
      </c>
      <c r="B36" s="5" t="s">
        <v>131</v>
      </c>
      <c r="C36" s="6">
        <v>6699</v>
      </c>
      <c r="D36" s="7">
        <v>5</v>
      </c>
      <c r="E36">
        <v>7.0099999999999996E-2</v>
      </c>
      <c r="F36" s="1">
        <v>201</v>
      </c>
      <c r="G36" s="1" t="str">
        <f>VLOOKUP(F36,'Master(Ko Xóa)'!$F$2:$H$158,3,0)</f>
        <v>Out</v>
      </c>
      <c r="H36" s="6" t="s">
        <v>1105</v>
      </c>
      <c r="I36" s="6" t="s">
        <v>1109</v>
      </c>
    </row>
    <row r="37" spans="1:9">
      <c r="A37" s="4">
        <v>1</v>
      </c>
      <c r="B37" s="5" t="s">
        <v>132</v>
      </c>
      <c r="C37" s="6">
        <v>6699</v>
      </c>
      <c r="D37" s="7">
        <v>2</v>
      </c>
      <c r="E37">
        <v>2.4E-2</v>
      </c>
      <c r="F37" s="1">
        <v>201</v>
      </c>
      <c r="G37" s="1" t="str">
        <f>VLOOKUP(F37,'Master(Ko Xóa)'!$F$2:$H$158,3,0)</f>
        <v>Out</v>
      </c>
      <c r="H37" s="6" t="s">
        <v>1105</v>
      </c>
      <c r="I37" s="6" t="s">
        <v>1109</v>
      </c>
    </row>
    <row r="38" spans="1:9">
      <c r="A38" s="4">
        <v>1</v>
      </c>
      <c r="B38" s="5" t="s">
        <v>133</v>
      </c>
      <c r="C38" s="6">
        <v>6699</v>
      </c>
      <c r="D38" s="7">
        <v>5</v>
      </c>
      <c r="E38">
        <v>0.20750000000000002</v>
      </c>
      <c r="F38" s="1">
        <v>201</v>
      </c>
      <c r="G38" s="1" t="str">
        <f>VLOOKUP(F38,'Master(Ko Xóa)'!$F$2:$H$158,3,0)</f>
        <v>Out</v>
      </c>
      <c r="H38" s="6" t="s">
        <v>1105</v>
      </c>
      <c r="I38" s="6" t="s">
        <v>1109</v>
      </c>
    </row>
    <row r="39" spans="1:9">
      <c r="A39" s="4">
        <v>1</v>
      </c>
      <c r="B39" s="5" t="s">
        <v>134</v>
      </c>
      <c r="C39" s="6">
        <v>6699</v>
      </c>
      <c r="D39" s="7">
        <v>5</v>
      </c>
      <c r="E39">
        <v>5.2249999999999998E-2</v>
      </c>
      <c r="F39" s="1">
        <v>201</v>
      </c>
      <c r="G39" s="1" t="str">
        <f>VLOOKUP(F39,'Master(Ko Xóa)'!$F$2:$H$158,3,0)</f>
        <v>Out</v>
      </c>
      <c r="H39" s="6" t="s">
        <v>1105</v>
      </c>
      <c r="I39" s="6" t="s">
        <v>1109</v>
      </c>
    </row>
    <row r="40" spans="1:9">
      <c r="A40" s="4">
        <v>1</v>
      </c>
      <c r="B40" s="5" t="s">
        <v>135</v>
      </c>
      <c r="C40" s="6">
        <v>6699</v>
      </c>
      <c r="D40" s="7">
        <v>2</v>
      </c>
      <c r="E40">
        <v>0.1946</v>
      </c>
      <c r="F40" s="1">
        <v>201</v>
      </c>
      <c r="G40" s="1" t="str">
        <f>VLOOKUP(F40,'Master(Ko Xóa)'!$F$2:$H$158,3,0)</f>
        <v>Out</v>
      </c>
      <c r="H40" s="6" t="s">
        <v>1105</v>
      </c>
      <c r="I40" s="6" t="s">
        <v>1109</v>
      </c>
    </row>
    <row r="41" spans="1:9">
      <c r="A41" s="4">
        <v>1</v>
      </c>
      <c r="B41" s="5" t="s">
        <v>136</v>
      </c>
      <c r="C41" s="6">
        <v>6699</v>
      </c>
      <c r="D41" s="7">
        <v>5</v>
      </c>
      <c r="E41">
        <v>0.3</v>
      </c>
      <c r="F41" s="1">
        <v>201</v>
      </c>
      <c r="G41" s="1" t="str">
        <f>VLOOKUP(F41,'Master(Ko Xóa)'!$F$2:$H$158,3,0)</f>
        <v>Out</v>
      </c>
      <c r="H41" s="6" t="s">
        <v>1105</v>
      </c>
      <c r="I41" s="6" t="s">
        <v>1109</v>
      </c>
    </row>
    <row r="42" spans="1:9">
      <c r="A42" s="4">
        <v>1</v>
      </c>
      <c r="B42" s="5" t="s">
        <v>137</v>
      </c>
      <c r="C42" s="6">
        <v>6699</v>
      </c>
      <c r="D42" s="7">
        <v>5</v>
      </c>
      <c r="E42">
        <v>0.5</v>
      </c>
      <c r="F42" s="1">
        <v>201</v>
      </c>
      <c r="G42" s="1" t="str">
        <f>VLOOKUP(F42,'Master(Ko Xóa)'!$F$2:$H$158,3,0)</f>
        <v>Out</v>
      </c>
      <c r="H42" s="6" t="s">
        <v>1105</v>
      </c>
      <c r="I42" s="6" t="s">
        <v>1109</v>
      </c>
    </row>
    <row r="43" spans="1:9">
      <c r="A43" s="4">
        <v>1</v>
      </c>
      <c r="B43" s="5" t="s">
        <v>138</v>
      </c>
      <c r="C43" s="6">
        <v>6699</v>
      </c>
      <c r="D43" s="7">
        <v>10</v>
      </c>
      <c r="E43">
        <v>8.2899999999999988E-2</v>
      </c>
      <c r="F43" s="1">
        <v>201</v>
      </c>
      <c r="G43" s="1" t="str">
        <f>VLOOKUP(F43,'Master(Ko Xóa)'!$F$2:$H$158,3,0)</f>
        <v>Out</v>
      </c>
      <c r="H43" s="6" t="s">
        <v>1105</v>
      </c>
      <c r="I43" s="6" t="s">
        <v>1109</v>
      </c>
    </row>
    <row r="44" spans="1:9">
      <c r="A44" s="4">
        <v>1</v>
      </c>
      <c r="B44" s="5" t="s">
        <v>139</v>
      </c>
      <c r="C44" s="6">
        <v>6699</v>
      </c>
      <c r="D44" s="7">
        <v>1</v>
      </c>
      <c r="E44">
        <v>0.26930999999999999</v>
      </c>
      <c r="F44" s="1">
        <v>201</v>
      </c>
      <c r="G44" s="1" t="str">
        <f>VLOOKUP(F44,'Master(Ko Xóa)'!$F$2:$H$158,3,0)</f>
        <v>Out</v>
      </c>
      <c r="H44" s="6" t="s">
        <v>1105</v>
      </c>
      <c r="I44" s="6" t="s">
        <v>1109</v>
      </c>
    </row>
    <row r="45" spans="1:9">
      <c r="A45" s="4">
        <v>1</v>
      </c>
      <c r="B45" s="5" t="s">
        <v>140</v>
      </c>
      <c r="C45" s="6">
        <v>6699</v>
      </c>
      <c r="D45" s="7">
        <v>1</v>
      </c>
      <c r="E45">
        <v>2.614E-2</v>
      </c>
      <c r="F45" s="1">
        <v>201</v>
      </c>
      <c r="G45" s="1" t="str">
        <f>VLOOKUP(F45,'Master(Ko Xóa)'!$F$2:$H$158,3,0)</f>
        <v>Out</v>
      </c>
      <c r="H45" s="6" t="s">
        <v>1105</v>
      </c>
      <c r="I45" s="6" t="s">
        <v>1109</v>
      </c>
    </row>
    <row r="46" spans="1:9">
      <c r="A46" s="4">
        <v>1</v>
      </c>
      <c r="B46" s="5" t="s">
        <v>141</v>
      </c>
      <c r="C46" s="6">
        <v>6699</v>
      </c>
      <c r="D46" s="7">
        <v>1</v>
      </c>
      <c r="E46">
        <v>9.35E-2</v>
      </c>
      <c r="F46" s="1">
        <v>201</v>
      </c>
      <c r="G46" s="1" t="str">
        <f>VLOOKUP(F46,'Master(Ko Xóa)'!$F$2:$H$158,3,0)</f>
        <v>Out</v>
      </c>
      <c r="H46" s="6" t="s">
        <v>1105</v>
      </c>
      <c r="I46" s="6" t="s">
        <v>1109</v>
      </c>
    </row>
    <row r="47" spans="1:9">
      <c r="A47" s="4">
        <v>1</v>
      </c>
      <c r="B47" s="5" t="s">
        <v>142</v>
      </c>
      <c r="C47" s="6">
        <v>6699</v>
      </c>
      <c r="D47" s="7">
        <v>1</v>
      </c>
      <c r="E47">
        <v>1.3</v>
      </c>
      <c r="F47" s="1">
        <v>201</v>
      </c>
      <c r="G47" s="1" t="str">
        <f>VLOOKUP(F47,'Master(Ko Xóa)'!$F$2:$H$158,3,0)</f>
        <v>Out</v>
      </c>
      <c r="H47" s="6" t="s">
        <v>1105</v>
      </c>
      <c r="I47" s="6" t="s">
        <v>1109</v>
      </c>
    </row>
    <row r="48" spans="1:9">
      <c r="A48" s="4">
        <v>1</v>
      </c>
      <c r="B48" s="5" t="s">
        <v>143</v>
      </c>
      <c r="C48" s="6">
        <v>6699</v>
      </c>
      <c r="D48" s="7">
        <v>5</v>
      </c>
      <c r="E48">
        <v>2.9049999999999996E-2</v>
      </c>
      <c r="F48" s="1">
        <v>201</v>
      </c>
      <c r="G48" s="1" t="str">
        <f>VLOOKUP(F48,'Master(Ko Xóa)'!$F$2:$H$158,3,0)</f>
        <v>Out</v>
      </c>
      <c r="H48" s="6" t="s">
        <v>1105</v>
      </c>
      <c r="I48" s="6" t="s">
        <v>1109</v>
      </c>
    </row>
    <row r="49" spans="1:9">
      <c r="A49" s="4">
        <v>1</v>
      </c>
      <c r="B49" s="5" t="s">
        <v>144</v>
      </c>
      <c r="C49" s="6">
        <v>6699</v>
      </c>
      <c r="D49" s="7">
        <v>2</v>
      </c>
      <c r="E49">
        <v>7.9400000000000012E-2</v>
      </c>
      <c r="F49" s="1">
        <v>201</v>
      </c>
      <c r="G49" s="1" t="str">
        <f>VLOOKUP(F49,'Master(Ko Xóa)'!$F$2:$H$158,3,0)</f>
        <v>Out</v>
      </c>
      <c r="H49" s="6" t="s">
        <v>1105</v>
      </c>
      <c r="I49" s="6" t="s">
        <v>1109</v>
      </c>
    </row>
    <row r="50" spans="1:9">
      <c r="A50" s="4">
        <v>1</v>
      </c>
      <c r="B50" s="5" t="s">
        <v>145</v>
      </c>
      <c r="C50" s="6">
        <v>6699</v>
      </c>
      <c r="D50" s="7">
        <v>20</v>
      </c>
      <c r="E50">
        <v>8.199999999999999E-3</v>
      </c>
      <c r="F50" s="1">
        <v>201</v>
      </c>
      <c r="G50" s="1" t="str">
        <f>VLOOKUP(F50,'Master(Ko Xóa)'!$F$2:$H$158,3,0)</f>
        <v>Out</v>
      </c>
      <c r="H50" s="6" t="s">
        <v>1105</v>
      </c>
      <c r="I50" s="6" t="s">
        <v>1109</v>
      </c>
    </row>
    <row r="51" spans="1:9">
      <c r="A51" s="4">
        <v>1</v>
      </c>
      <c r="B51" s="5" t="s">
        <v>146</v>
      </c>
      <c r="C51" s="6">
        <v>6699</v>
      </c>
      <c r="D51" s="7">
        <v>20</v>
      </c>
      <c r="E51">
        <v>0.01</v>
      </c>
      <c r="F51" s="1">
        <v>201</v>
      </c>
      <c r="G51" s="1" t="str">
        <f>VLOOKUP(F51,'Master(Ko Xóa)'!$F$2:$H$158,3,0)</f>
        <v>Out</v>
      </c>
      <c r="H51" s="6" t="s">
        <v>1105</v>
      </c>
      <c r="I51" s="6" t="s">
        <v>1109</v>
      </c>
    </row>
    <row r="52" spans="1:9">
      <c r="A52" s="4">
        <v>1</v>
      </c>
      <c r="B52" s="5" t="s">
        <v>147</v>
      </c>
      <c r="C52" s="6">
        <v>6699</v>
      </c>
      <c r="D52" s="7">
        <v>1</v>
      </c>
      <c r="E52">
        <v>4.3200000000000002E-2</v>
      </c>
      <c r="F52" s="1">
        <v>201</v>
      </c>
      <c r="G52" s="1" t="str">
        <f>VLOOKUP(F52,'Master(Ko Xóa)'!$F$2:$H$158,3,0)</f>
        <v>Out</v>
      </c>
      <c r="H52" s="6" t="s">
        <v>1105</v>
      </c>
      <c r="I52" s="6" t="s">
        <v>1109</v>
      </c>
    </row>
    <row r="53" spans="1:9">
      <c r="A53" s="4">
        <v>1</v>
      </c>
      <c r="B53" s="5" t="s">
        <v>148</v>
      </c>
      <c r="C53" s="6">
        <v>6699</v>
      </c>
      <c r="D53" s="7">
        <v>1</v>
      </c>
      <c r="E53">
        <v>5.8900000000000001E-2</v>
      </c>
      <c r="F53" s="1">
        <v>201</v>
      </c>
      <c r="G53" s="1" t="str">
        <f>VLOOKUP(F53,'Master(Ko Xóa)'!$F$2:$H$158,3,0)</f>
        <v>Out</v>
      </c>
      <c r="H53" s="6" t="s">
        <v>1105</v>
      </c>
      <c r="I53" s="6" t="s">
        <v>1109</v>
      </c>
    </row>
    <row r="54" spans="1:9">
      <c r="A54" s="4">
        <v>1</v>
      </c>
      <c r="B54" s="5" t="s">
        <v>149</v>
      </c>
      <c r="C54" s="6">
        <v>6699</v>
      </c>
      <c r="D54" s="7">
        <v>1</v>
      </c>
      <c r="E54">
        <v>7.1136999999999997</v>
      </c>
      <c r="F54" s="1">
        <v>201</v>
      </c>
      <c r="G54" s="1" t="str">
        <f>VLOOKUP(F54,'Master(Ko Xóa)'!$F$2:$H$158,3,0)</f>
        <v>Out</v>
      </c>
      <c r="H54" s="6" t="s">
        <v>1105</v>
      </c>
      <c r="I54" s="6" t="s">
        <v>1109</v>
      </c>
    </row>
    <row r="55" spans="1:9">
      <c r="A55" s="4">
        <v>1</v>
      </c>
      <c r="B55" s="5" t="s">
        <v>150</v>
      </c>
      <c r="C55" s="6">
        <v>6699</v>
      </c>
      <c r="D55" s="7">
        <v>1</v>
      </c>
      <c r="E55">
        <v>7.2931999999999997</v>
      </c>
      <c r="F55" s="1">
        <v>201</v>
      </c>
      <c r="G55" s="1" t="str">
        <f>VLOOKUP(F55,'Master(Ko Xóa)'!$F$2:$H$158,3,0)</f>
        <v>Out</v>
      </c>
      <c r="H55" s="6" t="s">
        <v>1105</v>
      </c>
      <c r="I55" s="6" t="s">
        <v>1109</v>
      </c>
    </row>
    <row r="56" spans="1:9">
      <c r="A56" s="4">
        <v>1</v>
      </c>
      <c r="B56" s="5" t="s">
        <v>151</v>
      </c>
      <c r="C56" s="6">
        <v>6699</v>
      </c>
      <c r="D56" s="7">
        <v>1</v>
      </c>
      <c r="E56">
        <v>1.5137</v>
      </c>
      <c r="F56" s="1">
        <v>201</v>
      </c>
      <c r="G56" s="1" t="str">
        <f>VLOOKUP(F56,'Master(Ko Xóa)'!$F$2:$H$158,3,0)</f>
        <v>Out</v>
      </c>
      <c r="H56" s="6" t="s">
        <v>1105</v>
      </c>
      <c r="I56" s="6" t="s">
        <v>1109</v>
      </c>
    </row>
    <row r="57" spans="1:9">
      <c r="A57" s="4">
        <v>1</v>
      </c>
      <c r="B57" s="5" t="s">
        <v>152</v>
      </c>
      <c r="C57" s="6">
        <v>6699</v>
      </c>
      <c r="D57" s="7">
        <v>1</v>
      </c>
      <c r="E57">
        <v>1.3388</v>
      </c>
      <c r="F57" s="1">
        <v>201</v>
      </c>
      <c r="G57" s="1" t="str">
        <f>VLOOKUP(F57,'Master(Ko Xóa)'!$F$2:$H$158,3,0)</f>
        <v>Out</v>
      </c>
      <c r="H57" s="6" t="s">
        <v>1105</v>
      </c>
      <c r="I57" s="6" t="s">
        <v>1109</v>
      </c>
    </row>
    <row r="58" spans="1:9">
      <c r="A58" s="4">
        <v>1</v>
      </c>
      <c r="B58" s="5" t="s">
        <v>153</v>
      </c>
      <c r="C58" s="6">
        <v>6699</v>
      </c>
      <c r="D58" s="7">
        <v>1</v>
      </c>
      <c r="E58">
        <v>1.853</v>
      </c>
      <c r="F58" s="1">
        <v>201</v>
      </c>
      <c r="G58" s="1" t="str">
        <f>VLOOKUP(F58,'Master(Ko Xóa)'!$F$2:$H$158,3,0)</f>
        <v>Out</v>
      </c>
      <c r="H58" s="6" t="s">
        <v>1105</v>
      </c>
      <c r="I58" s="6" t="s">
        <v>1109</v>
      </c>
    </row>
    <row r="59" spans="1:9">
      <c r="A59" s="4">
        <v>1</v>
      </c>
      <c r="B59" s="5" t="s">
        <v>154</v>
      </c>
      <c r="C59" s="6">
        <v>6699</v>
      </c>
      <c r="D59" s="7">
        <v>1</v>
      </c>
      <c r="E59">
        <v>2.9922</v>
      </c>
      <c r="F59" s="1">
        <v>201</v>
      </c>
      <c r="G59" s="1" t="str">
        <f>VLOOKUP(F59,'Master(Ko Xóa)'!$F$2:$H$158,3,0)</f>
        <v>Out</v>
      </c>
      <c r="H59" s="6" t="s">
        <v>1105</v>
      </c>
      <c r="I59" s="6" t="s">
        <v>1109</v>
      </c>
    </row>
    <row r="60" spans="1:9">
      <c r="A60" s="4">
        <v>1</v>
      </c>
      <c r="B60" s="5" t="s">
        <v>155</v>
      </c>
      <c r="C60" s="6">
        <v>6699</v>
      </c>
      <c r="D60" s="7">
        <v>1</v>
      </c>
      <c r="E60">
        <v>4.1861000000000006</v>
      </c>
      <c r="F60" s="1">
        <v>201</v>
      </c>
      <c r="G60" s="1" t="str">
        <f>VLOOKUP(F60,'Master(Ko Xóa)'!$F$2:$H$158,3,0)</f>
        <v>Out</v>
      </c>
      <c r="H60" s="6" t="s">
        <v>1105</v>
      </c>
      <c r="I60" s="6" t="s">
        <v>1109</v>
      </c>
    </row>
    <row r="61" spans="1:9">
      <c r="A61" s="4">
        <v>1</v>
      </c>
      <c r="B61" s="5" t="s">
        <v>156</v>
      </c>
      <c r="C61" s="6">
        <v>6699</v>
      </c>
      <c r="D61" s="7">
        <v>1</v>
      </c>
      <c r="E61">
        <v>0.37580000000000002</v>
      </c>
      <c r="F61" s="1">
        <v>201</v>
      </c>
      <c r="G61" s="1" t="str">
        <f>VLOOKUP(F61,'Master(Ko Xóa)'!$F$2:$H$158,3,0)</f>
        <v>Out</v>
      </c>
      <c r="H61" s="6" t="s">
        <v>1105</v>
      </c>
      <c r="I61" s="6" t="s">
        <v>1109</v>
      </c>
    </row>
    <row r="62" spans="1:9">
      <c r="A62" s="4">
        <v>1</v>
      </c>
      <c r="B62" s="5" t="s">
        <v>157</v>
      </c>
      <c r="C62" s="6">
        <v>6699</v>
      </c>
      <c r="D62" s="7">
        <v>2</v>
      </c>
      <c r="E62">
        <v>4.018E-2</v>
      </c>
      <c r="F62" s="1">
        <v>201</v>
      </c>
      <c r="G62" s="1" t="str">
        <f>VLOOKUP(F62,'Master(Ko Xóa)'!$F$2:$H$158,3,0)</f>
        <v>Out</v>
      </c>
      <c r="H62" s="6" t="s">
        <v>1105</v>
      </c>
      <c r="I62" s="6" t="s">
        <v>1109</v>
      </c>
    </row>
    <row r="63" spans="1:9">
      <c r="A63" s="4">
        <v>1</v>
      </c>
      <c r="B63" s="5" t="s">
        <v>158</v>
      </c>
      <c r="C63" s="6">
        <v>6699</v>
      </c>
      <c r="D63" s="7">
        <v>1</v>
      </c>
      <c r="E63">
        <v>1.9100000000000002E-2</v>
      </c>
      <c r="F63" s="1">
        <v>201</v>
      </c>
      <c r="G63" s="1" t="str">
        <f>VLOOKUP(F63,'Master(Ko Xóa)'!$F$2:$H$158,3,0)</f>
        <v>Out</v>
      </c>
      <c r="H63" s="6" t="s">
        <v>1105</v>
      </c>
      <c r="I63" s="6" t="s">
        <v>1109</v>
      </c>
    </row>
    <row r="64" spans="1:9">
      <c r="A64" s="4">
        <v>1</v>
      </c>
      <c r="B64" s="5" t="s">
        <v>159</v>
      </c>
      <c r="C64" s="6">
        <v>6699</v>
      </c>
      <c r="D64" s="7">
        <v>1</v>
      </c>
      <c r="E64">
        <v>2.8300000000000002E-2</v>
      </c>
      <c r="F64" s="1">
        <v>201</v>
      </c>
      <c r="G64" s="1" t="str">
        <f>VLOOKUP(F64,'Master(Ko Xóa)'!$F$2:$H$158,3,0)</f>
        <v>Out</v>
      </c>
      <c r="H64" s="6" t="s">
        <v>1105</v>
      </c>
      <c r="I64" s="6" t="s">
        <v>1109</v>
      </c>
    </row>
    <row r="65" spans="1:9">
      <c r="A65" s="4">
        <v>1</v>
      </c>
      <c r="B65" s="5" t="s">
        <v>160</v>
      </c>
      <c r="C65" s="6">
        <v>6699</v>
      </c>
      <c r="D65" s="7">
        <v>20</v>
      </c>
      <c r="E65">
        <v>2.2000000000000002E-2</v>
      </c>
      <c r="F65" s="1">
        <v>201</v>
      </c>
      <c r="G65" s="1" t="str">
        <f>VLOOKUP(F65,'Master(Ko Xóa)'!$F$2:$H$158,3,0)</f>
        <v>Out</v>
      </c>
      <c r="H65" s="6" t="s">
        <v>1105</v>
      </c>
      <c r="I65" s="6" t="s">
        <v>1109</v>
      </c>
    </row>
    <row r="66" spans="1:9">
      <c r="A66" s="4">
        <v>1</v>
      </c>
      <c r="B66" s="5" t="s">
        <v>161</v>
      </c>
      <c r="C66" s="6">
        <v>6699</v>
      </c>
      <c r="D66" s="7">
        <v>20</v>
      </c>
      <c r="E66">
        <v>1.2800000000000001E-2</v>
      </c>
      <c r="F66" s="1">
        <v>201</v>
      </c>
      <c r="G66" s="1" t="str">
        <f>VLOOKUP(F66,'Master(Ko Xóa)'!$F$2:$H$158,3,0)</f>
        <v>Out</v>
      </c>
      <c r="H66" s="6" t="s">
        <v>1105</v>
      </c>
      <c r="I66" s="6" t="s">
        <v>1109</v>
      </c>
    </row>
    <row r="67" spans="1:9">
      <c r="A67" s="4">
        <v>1</v>
      </c>
      <c r="B67" s="5" t="s">
        <v>162</v>
      </c>
      <c r="C67" s="6">
        <v>6699</v>
      </c>
      <c r="D67" s="7">
        <v>20</v>
      </c>
      <c r="E67">
        <v>5.4200000000000005E-2</v>
      </c>
      <c r="F67" s="1">
        <v>201</v>
      </c>
      <c r="G67" s="1" t="str">
        <f>VLOOKUP(F67,'Master(Ko Xóa)'!$F$2:$H$158,3,0)</f>
        <v>Out</v>
      </c>
      <c r="H67" s="6" t="s">
        <v>1105</v>
      </c>
      <c r="I67" s="6" t="s">
        <v>1109</v>
      </c>
    </row>
    <row r="68" spans="1:9">
      <c r="A68" s="4">
        <v>1</v>
      </c>
      <c r="B68" s="5" t="s">
        <v>163</v>
      </c>
      <c r="C68" s="6">
        <v>6699</v>
      </c>
      <c r="D68" s="7">
        <v>10</v>
      </c>
      <c r="E68">
        <v>6.4000000000000003E-3</v>
      </c>
      <c r="F68" s="1">
        <v>201</v>
      </c>
      <c r="G68" s="1" t="str">
        <f>VLOOKUP(F68,'Master(Ko Xóa)'!$F$2:$H$158,3,0)</f>
        <v>Out</v>
      </c>
      <c r="H68" s="6" t="s">
        <v>1105</v>
      </c>
      <c r="I68" s="6" t="s">
        <v>1109</v>
      </c>
    </row>
    <row r="69" spans="1:9">
      <c r="A69" s="4">
        <v>1</v>
      </c>
      <c r="B69" s="5" t="s">
        <v>164</v>
      </c>
      <c r="C69" s="6">
        <v>6699</v>
      </c>
      <c r="D69" s="7">
        <v>1</v>
      </c>
      <c r="E69">
        <v>0.03</v>
      </c>
      <c r="F69" s="1">
        <v>201</v>
      </c>
      <c r="G69" s="1" t="str">
        <f>VLOOKUP(F69,'Master(Ko Xóa)'!$F$2:$H$158,3,0)</f>
        <v>Out</v>
      </c>
      <c r="H69" s="6" t="s">
        <v>1105</v>
      </c>
      <c r="I69" s="6" t="s">
        <v>1109</v>
      </c>
    </row>
    <row r="70" spans="1:9">
      <c r="A70" s="4">
        <v>1</v>
      </c>
      <c r="B70" s="5" t="s">
        <v>165</v>
      </c>
      <c r="C70" s="6">
        <v>6699</v>
      </c>
      <c r="D70" s="7">
        <v>1</v>
      </c>
      <c r="E70">
        <v>7.9400000000000009E-3</v>
      </c>
      <c r="F70" s="1">
        <v>201</v>
      </c>
      <c r="G70" s="1" t="str">
        <f>VLOOKUP(F70,'Master(Ko Xóa)'!$F$2:$H$158,3,0)</f>
        <v>Out</v>
      </c>
      <c r="H70" s="6" t="s">
        <v>1105</v>
      </c>
      <c r="I70" s="6" t="s">
        <v>1109</v>
      </c>
    </row>
    <row r="71" spans="1:9">
      <c r="A71" s="4">
        <v>1</v>
      </c>
      <c r="B71" s="5" t="s">
        <v>166</v>
      </c>
      <c r="C71" s="6">
        <v>6699</v>
      </c>
      <c r="D71" s="7">
        <v>1</v>
      </c>
      <c r="E71">
        <v>7.5200000000000003E-2</v>
      </c>
      <c r="F71" s="1">
        <v>201</v>
      </c>
      <c r="G71" s="1" t="str">
        <f>VLOOKUP(F71,'Master(Ko Xóa)'!$F$2:$H$158,3,0)</f>
        <v>Out</v>
      </c>
      <c r="H71" s="6" t="s">
        <v>1105</v>
      </c>
      <c r="I71" s="6" t="s">
        <v>1109</v>
      </c>
    </row>
    <row r="72" spans="1:9">
      <c r="A72" s="4">
        <v>1</v>
      </c>
      <c r="B72" s="5" t="s">
        <v>167</v>
      </c>
      <c r="C72" s="6">
        <v>6699</v>
      </c>
      <c r="D72" s="7">
        <v>1</v>
      </c>
      <c r="E72">
        <v>6.7799999999999999E-2</v>
      </c>
      <c r="F72" s="1">
        <v>201</v>
      </c>
      <c r="G72" s="1" t="str">
        <f>VLOOKUP(F72,'Master(Ko Xóa)'!$F$2:$H$158,3,0)</f>
        <v>Out</v>
      </c>
      <c r="H72" s="6" t="s">
        <v>1105</v>
      </c>
      <c r="I72" s="6" t="s">
        <v>1109</v>
      </c>
    </row>
    <row r="73" spans="1:9">
      <c r="A73" s="4">
        <v>1</v>
      </c>
      <c r="B73" s="5" t="s">
        <v>168</v>
      </c>
      <c r="C73" s="6">
        <v>6699</v>
      </c>
      <c r="D73" s="7">
        <v>1</v>
      </c>
      <c r="E73">
        <v>0.1651</v>
      </c>
      <c r="F73" s="1">
        <v>201</v>
      </c>
      <c r="G73" s="1" t="str">
        <f>VLOOKUP(F73,'Master(Ko Xóa)'!$F$2:$H$158,3,0)</f>
        <v>Out</v>
      </c>
      <c r="H73" s="6" t="s">
        <v>1105</v>
      </c>
      <c r="I73" s="6" t="s">
        <v>1109</v>
      </c>
    </row>
    <row r="74" spans="1:9">
      <c r="A74" s="4">
        <v>1</v>
      </c>
      <c r="B74" s="5" t="s">
        <v>169</v>
      </c>
      <c r="C74" s="6">
        <v>6699</v>
      </c>
      <c r="D74" s="7">
        <v>1</v>
      </c>
      <c r="E74">
        <v>0.87520000000000009</v>
      </c>
      <c r="F74" s="1">
        <v>201</v>
      </c>
      <c r="G74" s="1" t="str">
        <f>VLOOKUP(F74,'Master(Ko Xóa)'!$F$2:$H$158,3,0)</f>
        <v>Out</v>
      </c>
      <c r="H74" s="6" t="s">
        <v>1105</v>
      </c>
      <c r="I74" s="6" t="s">
        <v>1109</v>
      </c>
    </row>
    <row r="75" spans="1:9">
      <c r="A75" s="4">
        <v>1</v>
      </c>
      <c r="B75" s="5" t="s">
        <v>170</v>
      </c>
      <c r="C75" s="6">
        <v>6699</v>
      </c>
      <c r="D75" s="7">
        <v>3</v>
      </c>
      <c r="E75">
        <v>34.190399999999997</v>
      </c>
      <c r="F75" s="1">
        <v>201</v>
      </c>
      <c r="G75" s="1" t="str">
        <f>VLOOKUP(F75,'Master(Ko Xóa)'!$F$2:$H$158,3,0)</f>
        <v>Out</v>
      </c>
      <c r="H75" s="6" t="s">
        <v>1105</v>
      </c>
      <c r="I75" s="6" t="s">
        <v>1109</v>
      </c>
    </row>
    <row r="76" spans="1:9">
      <c r="A76" s="4">
        <v>1</v>
      </c>
      <c r="B76" s="5" t="s">
        <v>171</v>
      </c>
      <c r="C76" s="6">
        <v>6699</v>
      </c>
      <c r="D76" s="7">
        <v>5</v>
      </c>
      <c r="E76">
        <v>7.423</v>
      </c>
      <c r="F76" s="1">
        <v>201</v>
      </c>
      <c r="G76" s="1" t="str">
        <f>VLOOKUP(F76,'Master(Ko Xóa)'!$F$2:$H$158,3,0)</f>
        <v>Out</v>
      </c>
      <c r="H76" s="6" t="s">
        <v>1105</v>
      </c>
      <c r="I76" s="6" t="s">
        <v>1109</v>
      </c>
    </row>
    <row r="77" spans="1:9">
      <c r="A77" s="4">
        <v>1</v>
      </c>
      <c r="B77" s="5" t="s">
        <v>172</v>
      </c>
      <c r="C77" s="6">
        <v>6699</v>
      </c>
      <c r="D77" s="7">
        <v>3</v>
      </c>
      <c r="E77">
        <v>0.89309999999999989</v>
      </c>
      <c r="F77" s="1">
        <v>201</v>
      </c>
      <c r="G77" s="1" t="str">
        <f>VLOOKUP(F77,'Master(Ko Xóa)'!$F$2:$H$158,3,0)</f>
        <v>Out</v>
      </c>
      <c r="H77" s="6" t="s">
        <v>1105</v>
      </c>
      <c r="I77" s="6" t="s">
        <v>1109</v>
      </c>
    </row>
    <row r="78" spans="1:9">
      <c r="A78" s="4">
        <v>1</v>
      </c>
      <c r="B78" s="5" t="s">
        <v>173</v>
      </c>
      <c r="C78" s="6">
        <v>6699</v>
      </c>
      <c r="D78" s="7">
        <v>1</v>
      </c>
      <c r="E78">
        <v>0.29769999999999996</v>
      </c>
      <c r="F78" s="1">
        <v>201</v>
      </c>
      <c r="G78" s="1" t="str">
        <f>VLOOKUP(F78,'Master(Ko Xóa)'!$F$2:$H$158,3,0)</f>
        <v>Out</v>
      </c>
      <c r="H78" s="6" t="s">
        <v>1105</v>
      </c>
      <c r="I78" s="6" t="s">
        <v>1109</v>
      </c>
    </row>
    <row r="79" spans="1:9">
      <c r="A79" s="4">
        <v>1</v>
      </c>
      <c r="B79" s="5" t="s">
        <v>174</v>
      </c>
      <c r="C79" s="6">
        <v>6699</v>
      </c>
      <c r="D79" s="7">
        <v>3</v>
      </c>
      <c r="E79">
        <v>0.45090000000000008</v>
      </c>
      <c r="F79" s="1">
        <v>201</v>
      </c>
      <c r="G79" s="1" t="str">
        <f>VLOOKUP(F79,'Master(Ko Xóa)'!$F$2:$H$158,3,0)</f>
        <v>Out</v>
      </c>
      <c r="H79" s="6" t="s">
        <v>1105</v>
      </c>
      <c r="I79" s="6" t="s">
        <v>1109</v>
      </c>
    </row>
    <row r="80" spans="1:9">
      <c r="A80" s="4">
        <v>1</v>
      </c>
      <c r="B80" s="5" t="s">
        <v>175</v>
      </c>
      <c r="C80" s="6">
        <v>6699</v>
      </c>
      <c r="D80" s="7">
        <v>1</v>
      </c>
      <c r="E80">
        <v>0.18280000000000002</v>
      </c>
      <c r="F80" s="1">
        <v>201</v>
      </c>
      <c r="G80" s="1" t="str">
        <f>VLOOKUP(F80,'Master(Ko Xóa)'!$F$2:$H$158,3,0)</f>
        <v>Out</v>
      </c>
      <c r="H80" s="6" t="s">
        <v>1105</v>
      </c>
      <c r="I80" s="6" t="s">
        <v>1109</v>
      </c>
    </row>
    <row r="81" spans="1:9">
      <c r="A81" s="4">
        <v>1</v>
      </c>
      <c r="B81" s="5" t="s">
        <v>176</v>
      </c>
      <c r="C81" s="6">
        <v>6699</v>
      </c>
      <c r="D81" s="7">
        <v>2</v>
      </c>
      <c r="E81">
        <v>1.1787999999999998</v>
      </c>
      <c r="F81" s="1">
        <v>201</v>
      </c>
      <c r="G81" s="1" t="str">
        <f>VLOOKUP(F81,'Master(Ko Xóa)'!$F$2:$H$158,3,0)</f>
        <v>Out</v>
      </c>
      <c r="H81" s="6" t="s">
        <v>1105</v>
      </c>
      <c r="I81" s="6" t="s">
        <v>1109</v>
      </c>
    </row>
    <row r="82" spans="1:9">
      <c r="A82" s="4">
        <v>1</v>
      </c>
      <c r="B82" s="5" t="s">
        <v>177</v>
      </c>
      <c r="C82" s="6">
        <v>6699</v>
      </c>
      <c r="D82" s="7">
        <v>1</v>
      </c>
      <c r="E82">
        <v>0.104</v>
      </c>
      <c r="F82" s="1">
        <v>201</v>
      </c>
      <c r="G82" s="1" t="str">
        <f>VLOOKUP(F82,'Master(Ko Xóa)'!$F$2:$H$158,3,0)</f>
        <v>Out</v>
      </c>
      <c r="H82" s="6" t="s">
        <v>1105</v>
      </c>
      <c r="I82" s="6" t="s">
        <v>1109</v>
      </c>
    </row>
    <row r="83" spans="1:9">
      <c r="A83" s="4">
        <v>1</v>
      </c>
      <c r="B83" s="5" t="s">
        <v>178</v>
      </c>
      <c r="C83" s="6">
        <v>6699</v>
      </c>
      <c r="D83" s="7">
        <v>1</v>
      </c>
      <c r="E83">
        <v>3.1678999999999999</v>
      </c>
      <c r="F83" s="1">
        <v>201</v>
      </c>
      <c r="G83" s="1" t="str">
        <f>VLOOKUP(F83,'Master(Ko Xóa)'!$F$2:$H$158,3,0)</f>
        <v>Out</v>
      </c>
      <c r="H83" s="6" t="s">
        <v>1105</v>
      </c>
      <c r="I83" s="6" t="s">
        <v>1109</v>
      </c>
    </row>
    <row r="84" spans="1:9">
      <c r="A84" s="4">
        <v>1</v>
      </c>
      <c r="B84" s="5" t="s">
        <v>179</v>
      </c>
      <c r="C84" s="6">
        <v>6699</v>
      </c>
      <c r="D84" s="7">
        <v>1</v>
      </c>
      <c r="E84">
        <v>0.1076</v>
      </c>
      <c r="F84" s="1">
        <v>201</v>
      </c>
      <c r="G84" s="1" t="str">
        <f>VLOOKUP(F84,'Master(Ko Xóa)'!$F$2:$H$158,3,0)</f>
        <v>Out</v>
      </c>
      <c r="H84" s="6" t="s">
        <v>1105</v>
      </c>
      <c r="I84" s="6" t="s">
        <v>1109</v>
      </c>
    </row>
    <row r="85" spans="1:9">
      <c r="A85" s="4">
        <v>1</v>
      </c>
      <c r="B85" s="5" t="s">
        <v>180</v>
      </c>
      <c r="C85" s="6">
        <v>6699</v>
      </c>
      <c r="D85" s="7">
        <v>1</v>
      </c>
      <c r="E85">
        <v>0.35</v>
      </c>
      <c r="F85" s="1">
        <v>201</v>
      </c>
      <c r="G85" s="1" t="str">
        <f>VLOOKUP(F85,'Master(Ko Xóa)'!$F$2:$H$158,3,0)</f>
        <v>Out</v>
      </c>
      <c r="H85" s="6" t="s">
        <v>1105</v>
      </c>
      <c r="I85" s="6" t="s">
        <v>1109</v>
      </c>
    </row>
    <row r="86" spans="1:9">
      <c r="A86" s="4">
        <v>1</v>
      </c>
      <c r="B86" s="5" t="s">
        <v>181</v>
      </c>
      <c r="C86" s="6">
        <v>6699</v>
      </c>
      <c r="D86" s="7">
        <v>1</v>
      </c>
      <c r="E86">
        <v>0.84539999999999993</v>
      </c>
      <c r="F86" s="1">
        <v>201</v>
      </c>
      <c r="G86" s="1" t="str">
        <f>VLOOKUP(F86,'Master(Ko Xóa)'!$F$2:$H$158,3,0)</f>
        <v>Out</v>
      </c>
      <c r="H86" s="6" t="s">
        <v>1105</v>
      </c>
      <c r="I86" s="6" t="s">
        <v>1109</v>
      </c>
    </row>
    <row r="87" spans="1:9">
      <c r="A87" s="4">
        <v>1</v>
      </c>
      <c r="B87" s="5" t="s">
        <v>182</v>
      </c>
      <c r="C87" s="6">
        <v>6699</v>
      </c>
      <c r="D87" s="7">
        <v>1</v>
      </c>
      <c r="E87">
        <v>0.35</v>
      </c>
      <c r="F87" s="1">
        <v>201</v>
      </c>
      <c r="G87" s="1" t="str">
        <f>VLOOKUP(F87,'Master(Ko Xóa)'!$F$2:$H$158,3,0)</f>
        <v>Out</v>
      </c>
      <c r="H87" s="6" t="s">
        <v>1105</v>
      </c>
      <c r="I87" s="6" t="s">
        <v>1109</v>
      </c>
    </row>
    <row r="88" spans="1:9">
      <c r="A88" s="4">
        <v>1</v>
      </c>
      <c r="B88" s="5" t="s">
        <v>183</v>
      </c>
      <c r="C88" s="6">
        <v>6699</v>
      </c>
      <c r="D88" s="7">
        <v>1</v>
      </c>
      <c r="E88">
        <v>0.24274000000000001</v>
      </c>
      <c r="F88" s="1">
        <v>201</v>
      </c>
      <c r="G88" s="1" t="str">
        <f>VLOOKUP(F88,'Master(Ko Xóa)'!$F$2:$H$158,3,0)</f>
        <v>Out</v>
      </c>
      <c r="H88" s="6" t="s">
        <v>1105</v>
      </c>
      <c r="I88" s="6" t="s">
        <v>1109</v>
      </c>
    </row>
    <row r="89" spans="1:9">
      <c r="A89" s="4">
        <v>1</v>
      </c>
      <c r="B89" s="5" t="s">
        <v>184</v>
      </c>
      <c r="C89" s="6">
        <v>6699</v>
      </c>
      <c r="D89" s="7">
        <v>1</v>
      </c>
      <c r="E89">
        <v>0.15221000000000001</v>
      </c>
      <c r="F89" s="1">
        <v>201</v>
      </c>
      <c r="G89" s="1" t="str">
        <f>VLOOKUP(F89,'Master(Ko Xóa)'!$F$2:$H$158,3,0)</f>
        <v>Out</v>
      </c>
      <c r="H89" s="6" t="s">
        <v>1105</v>
      </c>
      <c r="I89" s="6" t="s">
        <v>1109</v>
      </c>
    </row>
    <row r="90" spans="1:9">
      <c r="A90" s="4">
        <v>1</v>
      </c>
      <c r="B90" s="5" t="s">
        <v>185</v>
      </c>
      <c r="C90" s="6">
        <v>6699</v>
      </c>
      <c r="D90" s="7">
        <v>1</v>
      </c>
      <c r="E90">
        <v>7.8989999999999991E-2</v>
      </c>
      <c r="F90" s="1">
        <v>201</v>
      </c>
      <c r="G90" s="1" t="str">
        <f>VLOOKUP(F90,'Master(Ko Xóa)'!$F$2:$H$158,3,0)</f>
        <v>Out</v>
      </c>
      <c r="H90" s="6" t="s">
        <v>1105</v>
      </c>
      <c r="I90" s="6" t="s">
        <v>1109</v>
      </c>
    </row>
    <row r="91" spans="1:9">
      <c r="A91" s="4">
        <v>1</v>
      </c>
      <c r="B91" s="5" t="s">
        <v>186</v>
      </c>
      <c r="C91" s="6">
        <v>6699</v>
      </c>
      <c r="D91" s="7">
        <v>1</v>
      </c>
      <c r="E91">
        <v>5.6659999999999995E-2</v>
      </c>
      <c r="F91" s="1">
        <v>201</v>
      </c>
      <c r="G91" s="1" t="str">
        <f>VLOOKUP(F91,'Master(Ko Xóa)'!$F$2:$H$158,3,0)</f>
        <v>Out</v>
      </c>
      <c r="H91" s="6" t="s">
        <v>1105</v>
      </c>
      <c r="I91" s="6" t="s">
        <v>1109</v>
      </c>
    </row>
    <row r="92" spans="1:9">
      <c r="A92" s="4">
        <v>1</v>
      </c>
      <c r="B92" s="5" t="s">
        <v>187</v>
      </c>
      <c r="C92" s="6">
        <v>6699</v>
      </c>
      <c r="D92" s="7">
        <v>1</v>
      </c>
      <c r="E92">
        <v>9.5000000000000001E-2</v>
      </c>
      <c r="F92" s="1">
        <v>201</v>
      </c>
      <c r="G92" s="1" t="str">
        <f>VLOOKUP(F92,'Master(Ko Xóa)'!$F$2:$H$158,3,0)</f>
        <v>Out</v>
      </c>
      <c r="H92" s="6" t="s">
        <v>1105</v>
      </c>
      <c r="I92" s="6" t="s">
        <v>1109</v>
      </c>
    </row>
    <row r="93" spans="1:9">
      <c r="A93" s="4">
        <v>1</v>
      </c>
      <c r="B93" s="5" t="s">
        <v>188</v>
      </c>
      <c r="C93" s="6">
        <v>6699</v>
      </c>
      <c r="D93" s="7">
        <v>1</v>
      </c>
      <c r="E93">
        <v>1.2500000000000001E-2</v>
      </c>
      <c r="F93" s="1">
        <v>201</v>
      </c>
      <c r="G93" s="1" t="str">
        <f>VLOOKUP(F93,'Master(Ko Xóa)'!$F$2:$H$158,3,0)</f>
        <v>Out</v>
      </c>
      <c r="H93" s="6" t="s">
        <v>1105</v>
      </c>
      <c r="I93" s="6" t="s">
        <v>1109</v>
      </c>
    </row>
    <row r="94" spans="1:9">
      <c r="A94" s="4">
        <v>1</v>
      </c>
      <c r="B94" s="5" t="s">
        <v>189</v>
      </c>
      <c r="C94" s="6">
        <v>6699</v>
      </c>
      <c r="D94" s="7">
        <v>1</v>
      </c>
      <c r="E94">
        <v>2.3334999999999999</v>
      </c>
      <c r="F94" s="1">
        <v>201</v>
      </c>
      <c r="G94" s="1" t="str">
        <f>VLOOKUP(F94,'Master(Ko Xóa)'!$F$2:$H$158,3,0)</f>
        <v>Out</v>
      </c>
      <c r="H94" s="6" t="s">
        <v>1105</v>
      </c>
      <c r="I94" s="6" t="s">
        <v>1109</v>
      </c>
    </row>
    <row r="95" spans="1:9">
      <c r="A95" s="4">
        <v>1</v>
      </c>
      <c r="B95" s="5" t="s">
        <v>190</v>
      </c>
      <c r="C95" s="6">
        <v>6699</v>
      </c>
      <c r="D95" s="7">
        <v>1</v>
      </c>
      <c r="E95">
        <v>2.3334999999999999</v>
      </c>
      <c r="F95" s="1">
        <v>201</v>
      </c>
      <c r="G95" s="1" t="str">
        <f>VLOOKUP(F95,'Master(Ko Xóa)'!$F$2:$H$158,3,0)</f>
        <v>Out</v>
      </c>
      <c r="H95" s="6" t="s">
        <v>1105</v>
      </c>
      <c r="I95" s="6" t="s">
        <v>1109</v>
      </c>
    </row>
    <row r="96" spans="1:9">
      <c r="A96" s="4">
        <v>1</v>
      </c>
      <c r="B96" s="5" t="s">
        <v>191</v>
      </c>
      <c r="C96" s="6">
        <v>6699</v>
      </c>
      <c r="D96" s="7">
        <v>1</v>
      </c>
      <c r="E96">
        <v>2.7746</v>
      </c>
      <c r="F96" s="1">
        <v>201</v>
      </c>
      <c r="G96" s="1" t="str">
        <f>VLOOKUP(F96,'Master(Ko Xóa)'!$F$2:$H$158,3,0)</f>
        <v>Out</v>
      </c>
      <c r="H96" s="6" t="s">
        <v>1105</v>
      </c>
      <c r="I96" s="6" t="s">
        <v>1109</v>
      </c>
    </row>
    <row r="97" spans="1:9">
      <c r="A97" s="4">
        <v>1</v>
      </c>
      <c r="B97" s="5" t="s">
        <v>192</v>
      </c>
      <c r="C97" s="6">
        <v>6699</v>
      </c>
      <c r="D97" s="7">
        <v>1</v>
      </c>
      <c r="E97">
        <v>2.6819999999999999</v>
      </c>
      <c r="F97" s="1">
        <v>201</v>
      </c>
      <c r="G97" s="1" t="str">
        <f>VLOOKUP(F97,'Master(Ko Xóa)'!$F$2:$H$158,3,0)</f>
        <v>Out</v>
      </c>
      <c r="H97" s="6" t="s">
        <v>1105</v>
      </c>
      <c r="I97" s="6" t="s">
        <v>1109</v>
      </c>
    </row>
    <row r="98" spans="1:9">
      <c r="A98" s="4">
        <v>1</v>
      </c>
      <c r="B98" s="5" t="s">
        <v>193</v>
      </c>
      <c r="C98" s="6">
        <v>6699</v>
      </c>
      <c r="D98" s="7">
        <v>1</v>
      </c>
      <c r="E98">
        <v>1.4727999999999999</v>
      </c>
      <c r="F98" s="1">
        <v>201</v>
      </c>
      <c r="G98" s="1" t="str">
        <f>VLOOKUP(F98,'Master(Ko Xóa)'!$F$2:$H$158,3,0)</f>
        <v>Out</v>
      </c>
      <c r="H98" s="6" t="s">
        <v>1105</v>
      </c>
      <c r="I98" s="6" t="s">
        <v>1109</v>
      </c>
    </row>
    <row r="99" spans="1:9">
      <c r="A99" s="4">
        <v>1</v>
      </c>
      <c r="B99" s="5" t="s">
        <v>194</v>
      </c>
      <c r="C99" s="6">
        <v>6699</v>
      </c>
      <c r="D99" s="7">
        <v>1</v>
      </c>
      <c r="E99">
        <v>2.4214000000000002</v>
      </c>
      <c r="F99" s="1">
        <v>201</v>
      </c>
      <c r="G99" s="1" t="str">
        <f>VLOOKUP(F99,'Master(Ko Xóa)'!$F$2:$H$158,3,0)</f>
        <v>Out</v>
      </c>
      <c r="H99" s="6" t="s">
        <v>1105</v>
      </c>
      <c r="I99" s="6" t="s">
        <v>1109</v>
      </c>
    </row>
    <row r="100" spans="1:9">
      <c r="A100" s="4">
        <v>1</v>
      </c>
      <c r="B100" s="5" t="s">
        <v>195</v>
      </c>
      <c r="C100" s="6">
        <v>6699</v>
      </c>
      <c r="D100" s="7">
        <v>1</v>
      </c>
      <c r="E100">
        <v>0.6</v>
      </c>
      <c r="F100" s="1">
        <v>201</v>
      </c>
      <c r="G100" s="1" t="str">
        <f>VLOOKUP(F100,'Master(Ko Xóa)'!$F$2:$H$158,3,0)</f>
        <v>Out</v>
      </c>
      <c r="H100" s="6" t="s">
        <v>1105</v>
      </c>
      <c r="I100" s="6" t="s">
        <v>1109</v>
      </c>
    </row>
    <row r="101" spans="1:9">
      <c r="A101" s="4">
        <v>1</v>
      </c>
      <c r="B101" s="5" t="s">
        <v>196</v>
      </c>
      <c r="C101" s="6">
        <v>6699</v>
      </c>
      <c r="D101" s="7">
        <v>1</v>
      </c>
      <c r="E101">
        <v>0.13019999999999998</v>
      </c>
      <c r="F101" s="1">
        <v>201</v>
      </c>
      <c r="G101" s="1" t="str">
        <f>VLOOKUP(F101,'Master(Ko Xóa)'!$F$2:$H$158,3,0)</f>
        <v>Out</v>
      </c>
      <c r="H101" s="6" t="s">
        <v>1105</v>
      </c>
      <c r="I101" s="6" t="s">
        <v>1109</v>
      </c>
    </row>
    <row r="102" spans="1:9">
      <c r="A102" s="4">
        <v>1</v>
      </c>
      <c r="B102" s="5" t="s">
        <v>197</v>
      </c>
      <c r="C102" s="6">
        <v>6699</v>
      </c>
      <c r="D102" s="7">
        <v>1</v>
      </c>
      <c r="E102">
        <v>1.55E-2</v>
      </c>
      <c r="F102" s="1">
        <v>201</v>
      </c>
      <c r="G102" s="1" t="str">
        <f>VLOOKUP(F102,'Master(Ko Xóa)'!$F$2:$H$158,3,0)</f>
        <v>Out</v>
      </c>
      <c r="H102" s="6" t="s">
        <v>1105</v>
      </c>
      <c r="I102" s="6" t="s">
        <v>1109</v>
      </c>
    </row>
    <row r="103" spans="1:9">
      <c r="A103" s="4">
        <v>1</v>
      </c>
      <c r="B103" s="5" t="s">
        <v>198</v>
      </c>
      <c r="C103" s="6">
        <v>6699</v>
      </c>
      <c r="D103" s="7">
        <v>1</v>
      </c>
      <c r="E103">
        <v>9.4E-2</v>
      </c>
      <c r="F103" s="1">
        <v>201</v>
      </c>
      <c r="G103" s="1" t="str">
        <f>VLOOKUP(F103,'Master(Ko Xóa)'!$F$2:$H$158,3,0)</f>
        <v>Out</v>
      </c>
      <c r="H103" s="6" t="s">
        <v>1105</v>
      </c>
      <c r="I103" s="6" t="s">
        <v>1109</v>
      </c>
    </row>
    <row r="104" spans="1:9">
      <c r="A104" s="4">
        <v>1</v>
      </c>
      <c r="B104" s="5" t="s">
        <v>199</v>
      </c>
      <c r="C104" s="6">
        <v>6699</v>
      </c>
      <c r="D104" s="7">
        <v>1</v>
      </c>
      <c r="E104">
        <v>9.9309999999999996E-2</v>
      </c>
      <c r="F104" s="1">
        <v>201</v>
      </c>
      <c r="G104" s="1" t="str">
        <f>VLOOKUP(F104,'Master(Ko Xóa)'!$F$2:$H$158,3,0)</f>
        <v>Out</v>
      </c>
      <c r="H104" s="6" t="s">
        <v>1105</v>
      </c>
      <c r="I104" s="6" t="s">
        <v>1109</v>
      </c>
    </row>
    <row r="105" spans="1:9">
      <c r="A105" s="4">
        <v>1</v>
      </c>
      <c r="B105" s="5" t="s">
        <v>200</v>
      </c>
      <c r="C105" s="6">
        <v>6699</v>
      </c>
      <c r="D105" s="7">
        <v>1</v>
      </c>
      <c r="E105">
        <v>2.6600000000000002E-2</v>
      </c>
      <c r="F105" s="1">
        <v>201</v>
      </c>
      <c r="G105" s="1" t="str">
        <f>VLOOKUP(F105,'Master(Ko Xóa)'!$F$2:$H$158,3,0)</f>
        <v>Out</v>
      </c>
      <c r="H105" s="6" t="s">
        <v>1105</v>
      </c>
      <c r="I105" s="6" t="s">
        <v>1109</v>
      </c>
    </row>
    <row r="106" spans="1:9">
      <c r="A106" s="4">
        <v>1</v>
      </c>
      <c r="B106" s="5" t="s">
        <v>201</v>
      </c>
      <c r="C106" s="6">
        <v>6699</v>
      </c>
      <c r="D106" s="7">
        <v>1</v>
      </c>
      <c r="E106">
        <v>0.16250000000000001</v>
      </c>
      <c r="F106" s="1">
        <v>201</v>
      </c>
      <c r="G106" s="1" t="str">
        <f>VLOOKUP(F106,'Master(Ko Xóa)'!$F$2:$H$158,3,0)</f>
        <v>Out</v>
      </c>
      <c r="H106" s="6" t="s">
        <v>1105</v>
      </c>
      <c r="I106" s="6" t="s">
        <v>1109</v>
      </c>
    </row>
    <row r="107" spans="1:9">
      <c r="A107" s="4">
        <v>1</v>
      </c>
      <c r="B107" s="5" t="s">
        <v>202</v>
      </c>
      <c r="C107" s="6">
        <v>6699</v>
      </c>
      <c r="D107" s="7">
        <v>1</v>
      </c>
      <c r="E107">
        <v>0.37330000000000002</v>
      </c>
      <c r="F107" s="1">
        <v>201</v>
      </c>
      <c r="G107" s="1" t="str">
        <f>VLOOKUP(F107,'Master(Ko Xóa)'!$F$2:$H$158,3,0)</f>
        <v>Out</v>
      </c>
      <c r="H107" s="6" t="s">
        <v>1105</v>
      </c>
      <c r="I107" s="6" t="s">
        <v>1109</v>
      </c>
    </row>
    <row r="108" spans="1:9">
      <c r="A108" s="4">
        <v>1</v>
      </c>
      <c r="B108" s="5" t="s">
        <v>203</v>
      </c>
      <c r="C108" s="6">
        <v>6699</v>
      </c>
      <c r="D108" s="7">
        <v>1</v>
      </c>
      <c r="E108">
        <v>0.1009</v>
      </c>
      <c r="F108" s="1">
        <v>201</v>
      </c>
      <c r="G108" s="1" t="str">
        <f>VLOOKUP(F108,'Master(Ko Xóa)'!$F$2:$H$158,3,0)</f>
        <v>Out</v>
      </c>
      <c r="H108" s="6" t="s">
        <v>1105</v>
      </c>
      <c r="I108" s="6" t="s">
        <v>1109</v>
      </c>
    </row>
    <row r="109" spans="1:9">
      <c r="A109" s="4">
        <v>1</v>
      </c>
      <c r="B109" s="5" t="s">
        <v>204</v>
      </c>
      <c r="C109" s="6">
        <v>6699</v>
      </c>
      <c r="D109" s="7">
        <v>1</v>
      </c>
      <c r="E109">
        <v>0.68899999999999995</v>
      </c>
      <c r="F109" s="1">
        <v>201</v>
      </c>
      <c r="G109" s="1" t="str">
        <f>VLOOKUP(F109,'Master(Ko Xóa)'!$F$2:$H$158,3,0)</f>
        <v>Out</v>
      </c>
      <c r="H109" s="6" t="s">
        <v>1105</v>
      </c>
      <c r="I109" s="6" t="s">
        <v>1109</v>
      </c>
    </row>
    <row r="110" spans="1:9">
      <c r="A110" s="4">
        <v>1</v>
      </c>
      <c r="B110" s="5" t="s">
        <v>205</v>
      </c>
      <c r="C110" s="6">
        <v>6699</v>
      </c>
      <c r="D110" s="7">
        <v>1</v>
      </c>
      <c r="E110">
        <v>5.9130000000000002E-2</v>
      </c>
      <c r="F110" s="1">
        <v>201</v>
      </c>
      <c r="G110" s="1" t="str">
        <f>VLOOKUP(F110,'Master(Ko Xóa)'!$F$2:$H$158,3,0)</f>
        <v>Out</v>
      </c>
      <c r="H110" s="6" t="s">
        <v>1105</v>
      </c>
      <c r="I110" s="6" t="s">
        <v>1109</v>
      </c>
    </row>
    <row r="111" spans="1:9">
      <c r="A111" s="4">
        <v>1</v>
      </c>
      <c r="B111" s="5" t="s">
        <v>206</v>
      </c>
      <c r="C111" s="6">
        <v>6699</v>
      </c>
      <c r="D111" s="7">
        <v>1</v>
      </c>
      <c r="E111">
        <v>0.12322</v>
      </c>
      <c r="F111" s="1">
        <v>201</v>
      </c>
      <c r="G111" s="1" t="str">
        <f>VLOOKUP(F111,'Master(Ko Xóa)'!$F$2:$H$158,3,0)</f>
        <v>Out</v>
      </c>
      <c r="H111" s="6" t="s">
        <v>1105</v>
      </c>
      <c r="I111" s="6" t="s">
        <v>1109</v>
      </c>
    </row>
    <row r="112" spans="1:9">
      <c r="A112" s="4">
        <v>1</v>
      </c>
      <c r="B112" s="5" t="s">
        <v>207</v>
      </c>
      <c r="C112" s="6">
        <v>6699</v>
      </c>
      <c r="D112" s="7">
        <v>1</v>
      </c>
      <c r="E112">
        <v>0.14830000000000002</v>
      </c>
      <c r="F112" s="1">
        <v>201</v>
      </c>
      <c r="G112" s="1" t="str">
        <f>VLOOKUP(F112,'Master(Ko Xóa)'!$F$2:$H$158,3,0)</f>
        <v>Out</v>
      </c>
      <c r="H112" s="6" t="s">
        <v>1105</v>
      </c>
      <c r="I112" s="6" t="s">
        <v>1109</v>
      </c>
    </row>
    <row r="113" spans="1:9">
      <c r="A113" s="4">
        <v>1</v>
      </c>
      <c r="B113" s="5" t="s">
        <v>208</v>
      </c>
      <c r="C113" s="6">
        <v>6699</v>
      </c>
      <c r="D113" s="7">
        <v>1</v>
      </c>
      <c r="E113">
        <v>0.1633</v>
      </c>
      <c r="F113" s="1">
        <v>201</v>
      </c>
      <c r="G113" s="1" t="str">
        <f>VLOOKUP(F113,'Master(Ko Xóa)'!$F$2:$H$158,3,0)</f>
        <v>Out</v>
      </c>
      <c r="H113" s="6" t="s">
        <v>1105</v>
      </c>
      <c r="I113" s="6" t="s">
        <v>1109</v>
      </c>
    </row>
    <row r="114" spans="1:9">
      <c r="A114" s="4">
        <v>1</v>
      </c>
      <c r="B114" s="5" t="s">
        <v>209</v>
      </c>
      <c r="C114" s="6">
        <v>6699</v>
      </c>
      <c r="D114" s="7">
        <v>1</v>
      </c>
      <c r="E114">
        <v>0.1411</v>
      </c>
      <c r="F114" s="1">
        <v>201</v>
      </c>
      <c r="G114" s="1" t="str">
        <f>VLOOKUP(F114,'Master(Ko Xóa)'!$F$2:$H$158,3,0)</f>
        <v>Out</v>
      </c>
      <c r="H114" s="6" t="s">
        <v>1105</v>
      </c>
      <c r="I114" s="6" t="s">
        <v>1109</v>
      </c>
    </row>
    <row r="115" spans="1:9">
      <c r="A115" s="4">
        <v>1</v>
      </c>
      <c r="B115" s="5" t="s">
        <v>210</v>
      </c>
      <c r="C115" s="6">
        <v>6699</v>
      </c>
      <c r="D115" s="7">
        <v>1</v>
      </c>
      <c r="E115">
        <v>0.14130000000000001</v>
      </c>
      <c r="F115" s="1">
        <v>201</v>
      </c>
      <c r="G115" s="1" t="str">
        <f>VLOOKUP(F115,'Master(Ko Xóa)'!$F$2:$H$158,3,0)</f>
        <v>Out</v>
      </c>
      <c r="H115" s="6" t="s">
        <v>1105</v>
      </c>
      <c r="I115" s="6" t="s">
        <v>1109</v>
      </c>
    </row>
    <row r="116" spans="1:9">
      <c r="A116" s="4">
        <v>1</v>
      </c>
      <c r="B116" s="5" t="s">
        <v>211</v>
      </c>
      <c r="C116" s="6">
        <v>6699</v>
      </c>
      <c r="D116" s="7">
        <v>1</v>
      </c>
      <c r="E116">
        <v>0.13440000000000002</v>
      </c>
      <c r="F116" s="1">
        <v>201</v>
      </c>
      <c r="G116" s="1" t="str">
        <f>VLOOKUP(F116,'Master(Ko Xóa)'!$F$2:$H$158,3,0)</f>
        <v>Out</v>
      </c>
      <c r="H116" s="6" t="s">
        <v>1105</v>
      </c>
      <c r="I116" s="6" t="s">
        <v>1109</v>
      </c>
    </row>
    <row r="117" spans="1:9">
      <c r="A117" s="4">
        <v>1</v>
      </c>
      <c r="B117" s="5" t="s">
        <v>212</v>
      </c>
      <c r="C117" s="6">
        <v>6699</v>
      </c>
      <c r="D117" s="7">
        <v>1</v>
      </c>
      <c r="E117">
        <v>0.77570000000000006</v>
      </c>
      <c r="F117" s="1">
        <v>201</v>
      </c>
      <c r="G117" s="1" t="str">
        <f>VLOOKUP(F117,'Master(Ko Xóa)'!$F$2:$H$158,3,0)</f>
        <v>Out</v>
      </c>
      <c r="H117" s="6" t="s">
        <v>1105</v>
      </c>
      <c r="I117" s="6" t="s">
        <v>1109</v>
      </c>
    </row>
    <row r="118" spans="1:9">
      <c r="A118" s="4">
        <v>1</v>
      </c>
      <c r="B118" s="5" t="s">
        <v>213</v>
      </c>
      <c r="C118" s="6">
        <v>6699</v>
      </c>
      <c r="D118" s="7">
        <v>1</v>
      </c>
      <c r="E118">
        <v>0.11749999999999999</v>
      </c>
      <c r="F118" s="1">
        <v>201</v>
      </c>
      <c r="G118" s="1" t="str">
        <f>VLOOKUP(F118,'Master(Ko Xóa)'!$F$2:$H$158,3,0)</f>
        <v>Out</v>
      </c>
      <c r="H118" s="6" t="s">
        <v>1105</v>
      </c>
      <c r="I118" s="6" t="s">
        <v>1109</v>
      </c>
    </row>
    <row r="119" spans="1:9">
      <c r="A119" s="4">
        <v>1</v>
      </c>
      <c r="B119" s="5" t="s">
        <v>214</v>
      </c>
      <c r="C119" s="6">
        <v>6699</v>
      </c>
      <c r="D119" s="7">
        <v>1</v>
      </c>
      <c r="E119">
        <v>0.16159999999999999</v>
      </c>
      <c r="F119" s="1">
        <v>201</v>
      </c>
      <c r="G119" s="1" t="str">
        <f>VLOOKUP(F119,'Master(Ko Xóa)'!$F$2:$H$158,3,0)</f>
        <v>Out</v>
      </c>
      <c r="H119" s="6" t="s">
        <v>1105</v>
      </c>
      <c r="I119" s="6" t="s">
        <v>1109</v>
      </c>
    </row>
    <row r="120" spans="1:9">
      <c r="A120" s="4">
        <v>1</v>
      </c>
      <c r="B120" s="5" t="s">
        <v>215</v>
      </c>
      <c r="C120" s="6">
        <v>6699</v>
      </c>
      <c r="D120" s="7">
        <v>1</v>
      </c>
      <c r="E120">
        <v>0.13440000000000002</v>
      </c>
      <c r="F120" s="1">
        <v>201</v>
      </c>
      <c r="G120" s="1" t="str">
        <f>VLOOKUP(F120,'Master(Ko Xóa)'!$F$2:$H$158,3,0)</f>
        <v>Out</v>
      </c>
      <c r="H120" s="6" t="s">
        <v>1105</v>
      </c>
      <c r="I120" s="6" t="s">
        <v>1109</v>
      </c>
    </row>
    <row r="121" spans="1:9">
      <c r="A121" s="4">
        <v>1</v>
      </c>
      <c r="B121" s="5" t="s">
        <v>216</v>
      </c>
      <c r="C121" s="6">
        <v>6699</v>
      </c>
      <c r="D121" s="7">
        <v>1</v>
      </c>
      <c r="E121">
        <v>0.34251999999999999</v>
      </c>
      <c r="F121" s="1">
        <v>201</v>
      </c>
      <c r="G121" s="1" t="str">
        <f>VLOOKUP(F121,'Master(Ko Xóa)'!$F$2:$H$158,3,0)</f>
        <v>Out</v>
      </c>
      <c r="H121" s="6" t="s">
        <v>1105</v>
      </c>
      <c r="I121" s="6" t="s">
        <v>1109</v>
      </c>
    </row>
    <row r="122" spans="1:9">
      <c r="A122" s="4">
        <v>1</v>
      </c>
      <c r="B122" s="5" t="s">
        <v>217</v>
      </c>
      <c r="C122" s="6">
        <v>6699</v>
      </c>
      <c r="D122" s="7">
        <v>1</v>
      </c>
      <c r="E122">
        <v>0.90129999999999999</v>
      </c>
      <c r="F122" s="1">
        <v>201</v>
      </c>
      <c r="G122" s="1" t="str">
        <f>VLOOKUP(F122,'Master(Ko Xóa)'!$F$2:$H$158,3,0)</f>
        <v>Out</v>
      </c>
      <c r="H122" s="6" t="s">
        <v>1105</v>
      </c>
      <c r="I122" s="6" t="s">
        <v>1109</v>
      </c>
    </row>
    <row r="123" spans="1:9">
      <c r="A123" s="4">
        <v>1</v>
      </c>
      <c r="B123" s="5" t="s">
        <v>218</v>
      </c>
      <c r="C123" s="6">
        <v>6699</v>
      </c>
      <c r="D123" s="7">
        <v>1</v>
      </c>
      <c r="E123">
        <v>1.0529999999999999</v>
      </c>
      <c r="F123" s="1">
        <v>201</v>
      </c>
      <c r="G123" s="1" t="str">
        <f>VLOOKUP(F123,'Master(Ko Xóa)'!$F$2:$H$158,3,0)</f>
        <v>Out</v>
      </c>
      <c r="H123" s="6" t="s">
        <v>1105</v>
      </c>
      <c r="I123" s="6" t="s">
        <v>1109</v>
      </c>
    </row>
    <row r="124" spans="1:9">
      <c r="A124" s="4">
        <v>1</v>
      </c>
      <c r="B124" s="5" t="s">
        <v>219</v>
      </c>
      <c r="C124" s="6">
        <v>6699</v>
      </c>
      <c r="D124" s="7">
        <v>1</v>
      </c>
      <c r="E124">
        <v>1.1439000000000001</v>
      </c>
      <c r="F124" s="1">
        <v>201</v>
      </c>
      <c r="G124" s="1" t="str">
        <f>VLOOKUP(F124,'Master(Ko Xóa)'!$F$2:$H$158,3,0)</f>
        <v>Out</v>
      </c>
      <c r="H124" s="6" t="s">
        <v>1105</v>
      </c>
      <c r="I124" s="6" t="s">
        <v>1109</v>
      </c>
    </row>
    <row r="125" spans="1:9">
      <c r="A125" s="4">
        <v>1</v>
      </c>
      <c r="B125" s="5" t="s">
        <v>220</v>
      </c>
      <c r="C125" s="6">
        <v>6699</v>
      </c>
      <c r="D125" s="7">
        <v>1</v>
      </c>
      <c r="E125">
        <v>0.91589999999999994</v>
      </c>
      <c r="F125" s="1">
        <v>201</v>
      </c>
      <c r="G125" s="1" t="str">
        <f>VLOOKUP(F125,'Master(Ko Xóa)'!$F$2:$H$158,3,0)</f>
        <v>Out</v>
      </c>
      <c r="H125" s="6" t="s">
        <v>1105</v>
      </c>
      <c r="I125" s="6" t="s">
        <v>1109</v>
      </c>
    </row>
    <row r="126" spans="1:9">
      <c r="A126" s="4">
        <v>1</v>
      </c>
      <c r="B126" s="5" t="s">
        <v>221</v>
      </c>
      <c r="C126" s="6">
        <v>6699</v>
      </c>
      <c r="D126" s="7">
        <v>1</v>
      </c>
      <c r="E126">
        <v>1.0362</v>
      </c>
      <c r="F126" s="1">
        <v>201</v>
      </c>
      <c r="G126" s="1" t="str">
        <f>VLOOKUP(F126,'Master(Ko Xóa)'!$F$2:$H$158,3,0)</f>
        <v>Out</v>
      </c>
      <c r="H126" s="6" t="s">
        <v>1105</v>
      </c>
      <c r="I126" s="6" t="s">
        <v>1109</v>
      </c>
    </row>
    <row r="127" spans="1:9">
      <c r="A127" s="4">
        <v>1</v>
      </c>
      <c r="B127" s="5" t="s">
        <v>222</v>
      </c>
      <c r="C127" s="6">
        <v>6699</v>
      </c>
      <c r="D127" s="7">
        <v>1</v>
      </c>
      <c r="E127">
        <v>1.1487000000000001</v>
      </c>
      <c r="F127" s="1">
        <v>201</v>
      </c>
      <c r="G127" s="1" t="str">
        <f>VLOOKUP(F127,'Master(Ko Xóa)'!$F$2:$H$158,3,0)</f>
        <v>Out</v>
      </c>
      <c r="H127" s="6" t="s">
        <v>1105</v>
      </c>
      <c r="I127" s="6" t="s">
        <v>1109</v>
      </c>
    </row>
    <row r="128" spans="1:9">
      <c r="A128" s="4">
        <v>1</v>
      </c>
      <c r="B128" s="5" t="s">
        <v>223</v>
      </c>
      <c r="C128" s="6">
        <v>6699</v>
      </c>
      <c r="D128" s="7">
        <v>1</v>
      </c>
      <c r="E128">
        <v>6.5</v>
      </c>
      <c r="F128" s="1">
        <v>201</v>
      </c>
      <c r="G128" s="1" t="str">
        <f>VLOOKUP(F128,'Master(Ko Xóa)'!$F$2:$H$158,3,0)</f>
        <v>Out</v>
      </c>
      <c r="H128" s="6" t="s">
        <v>1105</v>
      </c>
      <c r="I128" s="6" t="s">
        <v>1109</v>
      </c>
    </row>
    <row r="129" spans="1:9">
      <c r="A129" s="4">
        <v>1</v>
      </c>
      <c r="B129" s="5" t="s">
        <v>224</v>
      </c>
      <c r="C129" s="6">
        <v>6699</v>
      </c>
      <c r="D129" s="7">
        <v>1</v>
      </c>
      <c r="E129">
        <v>4.5999999999999999E-3</v>
      </c>
      <c r="F129" s="1">
        <v>201</v>
      </c>
      <c r="G129" s="1" t="str">
        <f>VLOOKUP(F129,'Master(Ko Xóa)'!$F$2:$H$158,3,0)</f>
        <v>Out</v>
      </c>
      <c r="H129" s="6" t="s">
        <v>1105</v>
      </c>
      <c r="I129" s="6" t="s">
        <v>1109</v>
      </c>
    </row>
    <row r="130" spans="1:9">
      <c r="A130" s="4">
        <v>1</v>
      </c>
      <c r="B130" s="5" t="s">
        <v>225</v>
      </c>
      <c r="C130" s="6">
        <v>6699</v>
      </c>
      <c r="D130" s="7">
        <v>1</v>
      </c>
      <c r="E130">
        <v>3.5999999999999999E-3</v>
      </c>
      <c r="F130" s="1">
        <v>201</v>
      </c>
      <c r="G130" s="1" t="str">
        <f>VLOOKUP(F130,'Master(Ko Xóa)'!$F$2:$H$158,3,0)</f>
        <v>Out</v>
      </c>
      <c r="H130" s="6" t="s">
        <v>1105</v>
      </c>
      <c r="I130" s="6" t="s">
        <v>1109</v>
      </c>
    </row>
    <row r="131" spans="1:9">
      <c r="A131" s="4">
        <v>1</v>
      </c>
      <c r="B131" s="5" t="s">
        <v>226</v>
      </c>
      <c r="C131" s="6">
        <v>6699</v>
      </c>
      <c r="D131" s="7">
        <v>1</v>
      </c>
      <c r="E131">
        <v>6.6E-3</v>
      </c>
      <c r="F131" s="1">
        <v>201</v>
      </c>
      <c r="G131" s="1" t="str">
        <f>VLOOKUP(F131,'Master(Ko Xóa)'!$F$2:$H$158,3,0)</f>
        <v>Out</v>
      </c>
      <c r="H131" s="6" t="s">
        <v>1105</v>
      </c>
      <c r="I131" s="6" t="s">
        <v>1109</v>
      </c>
    </row>
    <row r="132" spans="1:9">
      <c r="A132" s="4">
        <v>1</v>
      </c>
      <c r="B132" s="5" t="s">
        <v>227</v>
      </c>
      <c r="C132" s="6">
        <v>6699</v>
      </c>
      <c r="D132" s="7">
        <v>1</v>
      </c>
      <c r="E132">
        <v>6.1999999999999998E-3</v>
      </c>
      <c r="F132" s="1">
        <v>201</v>
      </c>
      <c r="G132" s="1" t="str">
        <f>VLOOKUP(F132,'Master(Ko Xóa)'!$F$2:$H$158,3,0)</f>
        <v>Out</v>
      </c>
      <c r="H132" s="6" t="s">
        <v>1105</v>
      </c>
      <c r="I132" s="6" t="s">
        <v>1109</v>
      </c>
    </row>
    <row r="133" spans="1:9">
      <c r="A133" s="4">
        <v>1</v>
      </c>
      <c r="B133" s="5" t="s">
        <v>228</v>
      </c>
      <c r="C133" s="6">
        <v>6699</v>
      </c>
      <c r="D133" s="7">
        <v>1</v>
      </c>
      <c r="E133">
        <v>1.4500000000000001E-2</v>
      </c>
      <c r="F133" s="1">
        <v>201</v>
      </c>
      <c r="G133" s="1" t="str">
        <f>VLOOKUP(F133,'Master(Ko Xóa)'!$F$2:$H$158,3,0)</f>
        <v>Out</v>
      </c>
      <c r="H133" s="6" t="s">
        <v>1105</v>
      </c>
      <c r="I133" s="6" t="s">
        <v>1109</v>
      </c>
    </row>
    <row r="134" spans="1:9">
      <c r="A134" s="4">
        <v>1</v>
      </c>
      <c r="B134" s="5" t="s">
        <v>229</v>
      </c>
      <c r="C134" s="6">
        <v>6699</v>
      </c>
      <c r="D134" s="7">
        <v>1</v>
      </c>
      <c r="E134">
        <v>4.4200000000000003E-2</v>
      </c>
      <c r="F134" s="1">
        <v>201</v>
      </c>
      <c r="G134" s="1" t="str">
        <f>VLOOKUP(F134,'Master(Ko Xóa)'!$F$2:$H$158,3,0)</f>
        <v>Out</v>
      </c>
      <c r="H134" s="6" t="s">
        <v>1105</v>
      </c>
      <c r="I134" s="6" t="s">
        <v>1109</v>
      </c>
    </row>
    <row r="135" spans="1:9">
      <c r="A135" s="4">
        <v>1</v>
      </c>
      <c r="B135" s="5" t="s">
        <v>230</v>
      </c>
      <c r="C135" s="6">
        <v>6699</v>
      </c>
      <c r="D135" s="7">
        <v>1</v>
      </c>
      <c r="E135">
        <v>4.0390000000000002E-2</v>
      </c>
      <c r="F135" s="1">
        <v>201</v>
      </c>
      <c r="G135" s="1" t="str">
        <f>VLOOKUP(F135,'Master(Ko Xóa)'!$F$2:$H$158,3,0)</f>
        <v>Out</v>
      </c>
      <c r="H135" s="6" t="s">
        <v>1105</v>
      </c>
      <c r="I135" s="6" t="s">
        <v>1109</v>
      </c>
    </row>
    <row r="136" spans="1:9">
      <c r="A136" s="4">
        <v>1</v>
      </c>
      <c r="B136" s="5" t="s">
        <v>231</v>
      </c>
      <c r="C136" s="6">
        <v>6699</v>
      </c>
      <c r="D136" s="7">
        <v>1</v>
      </c>
      <c r="E136">
        <v>4.1100000000000005E-2</v>
      </c>
      <c r="F136" s="1">
        <v>201</v>
      </c>
      <c r="G136" s="1" t="str">
        <f>VLOOKUP(F136,'Master(Ko Xóa)'!$F$2:$H$158,3,0)</f>
        <v>Out</v>
      </c>
      <c r="H136" s="6" t="s">
        <v>1105</v>
      </c>
      <c r="I136" s="6" t="s">
        <v>1109</v>
      </c>
    </row>
    <row r="137" spans="1:9">
      <c r="A137" s="4">
        <v>1</v>
      </c>
      <c r="B137" s="5" t="s">
        <v>232</v>
      </c>
      <c r="C137" s="6">
        <v>6699</v>
      </c>
      <c r="D137" s="7">
        <v>1</v>
      </c>
      <c r="E137">
        <v>5.5908999999999995</v>
      </c>
      <c r="F137" s="1">
        <v>201</v>
      </c>
      <c r="G137" s="1" t="str">
        <f>VLOOKUP(F137,'Master(Ko Xóa)'!$F$2:$H$158,3,0)</f>
        <v>Out</v>
      </c>
      <c r="H137" s="6" t="s">
        <v>1105</v>
      </c>
      <c r="I137" s="6" t="s">
        <v>1109</v>
      </c>
    </row>
    <row r="138" spans="1:9">
      <c r="A138" s="4">
        <v>1</v>
      </c>
      <c r="B138" s="5" t="s">
        <v>233</v>
      </c>
      <c r="C138" s="6">
        <v>6699</v>
      </c>
      <c r="D138" s="7">
        <v>1</v>
      </c>
      <c r="E138">
        <v>3.0499999999999999E-2</v>
      </c>
      <c r="F138" s="1">
        <v>201</v>
      </c>
      <c r="G138" s="1" t="str">
        <f>VLOOKUP(F138,'Master(Ko Xóa)'!$F$2:$H$158,3,0)</f>
        <v>Out</v>
      </c>
      <c r="H138" s="6" t="s">
        <v>1105</v>
      </c>
      <c r="I138" s="6" t="s">
        <v>1109</v>
      </c>
    </row>
    <row r="139" spans="1:9">
      <c r="A139" s="4">
        <v>1</v>
      </c>
      <c r="B139" s="5" t="s">
        <v>234</v>
      </c>
      <c r="C139" s="6">
        <v>6699</v>
      </c>
      <c r="D139" s="7">
        <v>1</v>
      </c>
      <c r="E139">
        <v>1.9833000000000001</v>
      </c>
      <c r="F139" s="1">
        <v>201</v>
      </c>
      <c r="G139" s="1" t="str">
        <f>VLOOKUP(F139,'Master(Ko Xóa)'!$F$2:$H$158,3,0)</f>
        <v>Out</v>
      </c>
      <c r="H139" s="6" t="s">
        <v>1105</v>
      </c>
      <c r="I139" s="6" t="s">
        <v>1109</v>
      </c>
    </row>
    <row r="140" spans="1:9">
      <c r="A140" s="4">
        <v>1</v>
      </c>
      <c r="B140" s="5" t="s">
        <v>235</v>
      </c>
      <c r="C140" s="6">
        <v>6699</v>
      </c>
      <c r="D140" s="7">
        <v>1</v>
      </c>
      <c r="E140">
        <v>1.7694000000000001</v>
      </c>
      <c r="F140" s="1">
        <v>201</v>
      </c>
      <c r="G140" s="1" t="str">
        <f>VLOOKUP(F140,'Master(Ko Xóa)'!$F$2:$H$158,3,0)</f>
        <v>Out</v>
      </c>
      <c r="H140" s="6" t="s">
        <v>1105</v>
      </c>
      <c r="I140" s="6" t="s">
        <v>1109</v>
      </c>
    </row>
    <row r="141" spans="1:9">
      <c r="A141" s="4">
        <v>1</v>
      </c>
      <c r="B141" s="5" t="s">
        <v>236</v>
      </c>
      <c r="C141" s="6">
        <v>6699</v>
      </c>
      <c r="D141" s="7">
        <v>1</v>
      </c>
      <c r="E141">
        <v>0.70979999999999999</v>
      </c>
      <c r="F141" s="1">
        <v>201</v>
      </c>
      <c r="G141" s="1" t="str">
        <f>VLOOKUP(F141,'Master(Ko Xóa)'!$F$2:$H$158,3,0)</f>
        <v>Out</v>
      </c>
      <c r="H141" s="6" t="s">
        <v>1105</v>
      </c>
      <c r="I141" s="6" t="s">
        <v>1109</v>
      </c>
    </row>
    <row r="142" spans="1:9">
      <c r="A142" s="4">
        <v>1</v>
      </c>
      <c r="B142" s="5" t="s">
        <v>237</v>
      </c>
      <c r="C142" s="6">
        <v>6699</v>
      </c>
      <c r="D142" s="7">
        <v>1</v>
      </c>
      <c r="E142">
        <v>8.0399999999999999E-2</v>
      </c>
      <c r="F142" s="1">
        <v>201</v>
      </c>
      <c r="G142" s="1" t="str">
        <f>VLOOKUP(F142,'Master(Ko Xóa)'!$F$2:$H$158,3,0)</f>
        <v>Out</v>
      </c>
      <c r="H142" s="6" t="s">
        <v>1105</v>
      </c>
      <c r="I142" s="6" t="s">
        <v>1109</v>
      </c>
    </row>
    <row r="143" spans="1:9">
      <c r="A143" s="4">
        <v>1</v>
      </c>
      <c r="B143" s="5" t="s">
        <v>238</v>
      </c>
      <c r="C143" s="6">
        <v>6699</v>
      </c>
      <c r="D143" s="7">
        <v>1</v>
      </c>
      <c r="E143">
        <v>7.4069999999999997E-2</v>
      </c>
      <c r="F143" s="1">
        <v>201</v>
      </c>
      <c r="G143" s="1" t="str">
        <f>VLOOKUP(F143,'Master(Ko Xóa)'!$F$2:$H$158,3,0)</f>
        <v>Out</v>
      </c>
      <c r="H143" s="6" t="s">
        <v>1105</v>
      </c>
      <c r="I143" s="6" t="s">
        <v>1109</v>
      </c>
    </row>
    <row r="144" spans="1:9">
      <c r="A144" s="4">
        <v>1</v>
      </c>
      <c r="B144" s="5" t="s">
        <v>239</v>
      </c>
      <c r="C144" s="6">
        <v>6699</v>
      </c>
      <c r="D144" s="7">
        <v>1</v>
      </c>
      <c r="E144">
        <v>0.19669</v>
      </c>
      <c r="F144" s="1">
        <v>201</v>
      </c>
      <c r="G144" s="1" t="str">
        <f>VLOOKUP(F144,'Master(Ko Xóa)'!$F$2:$H$158,3,0)</f>
        <v>Out</v>
      </c>
      <c r="H144" s="6" t="s">
        <v>1105</v>
      </c>
      <c r="I144" s="6" t="s">
        <v>1109</v>
      </c>
    </row>
    <row r="145" spans="1:9">
      <c r="A145" s="4">
        <v>1</v>
      </c>
      <c r="B145" s="5" t="s">
        <v>240</v>
      </c>
      <c r="C145" s="6">
        <v>6699</v>
      </c>
      <c r="D145" s="7">
        <v>1</v>
      </c>
      <c r="E145">
        <v>2.4941900000000001</v>
      </c>
      <c r="F145" s="1">
        <v>201</v>
      </c>
      <c r="G145" s="1" t="str">
        <f>VLOOKUP(F145,'Master(Ko Xóa)'!$F$2:$H$158,3,0)</f>
        <v>Out</v>
      </c>
      <c r="H145" s="6" t="s">
        <v>1105</v>
      </c>
      <c r="I145" s="6" t="s">
        <v>1109</v>
      </c>
    </row>
    <row r="146" spans="1:9">
      <c r="A146" s="4">
        <v>1</v>
      </c>
      <c r="B146" s="5" t="s">
        <v>241</v>
      </c>
      <c r="C146" s="6">
        <v>6699</v>
      </c>
      <c r="D146" s="7">
        <v>1</v>
      </c>
      <c r="E146">
        <v>1.0690999999999999</v>
      </c>
      <c r="F146" s="1">
        <v>201</v>
      </c>
      <c r="G146" s="1" t="str">
        <f>VLOOKUP(F146,'Master(Ko Xóa)'!$F$2:$H$158,3,0)</f>
        <v>Out</v>
      </c>
      <c r="H146" s="6" t="s">
        <v>1105</v>
      </c>
      <c r="I146" s="6" t="s">
        <v>1109</v>
      </c>
    </row>
    <row r="147" spans="1:9">
      <c r="A147" s="4">
        <v>1</v>
      </c>
      <c r="B147" s="5" t="s">
        <v>242</v>
      </c>
      <c r="C147" s="6">
        <v>6699</v>
      </c>
      <c r="D147" s="7">
        <v>1</v>
      </c>
      <c r="E147">
        <v>0.52560000000000007</v>
      </c>
      <c r="F147" s="1">
        <v>201</v>
      </c>
      <c r="G147" s="1" t="str">
        <f>VLOOKUP(F147,'Master(Ko Xóa)'!$F$2:$H$158,3,0)</f>
        <v>Out</v>
      </c>
      <c r="H147" s="6" t="s">
        <v>1105</v>
      </c>
      <c r="I147" s="6" t="s">
        <v>1109</v>
      </c>
    </row>
    <row r="148" spans="1:9">
      <c r="A148" s="4">
        <v>1</v>
      </c>
      <c r="B148" s="5" t="s">
        <v>243</v>
      </c>
      <c r="C148" s="6">
        <v>6699</v>
      </c>
      <c r="D148" s="7">
        <v>1</v>
      </c>
      <c r="E148">
        <v>0.53060000000000007</v>
      </c>
      <c r="F148" s="1">
        <v>201</v>
      </c>
      <c r="G148" s="1" t="str">
        <f>VLOOKUP(F148,'Master(Ko Xóa)'!$F$2:$H$158,3,0)</f>
        <v>Out</v>
      </c>
      <c r="H148" s="6" t="s">
        <v>1105</v>
      </c>
      <c r="I148" s="6" t="s">
        <v>1109</v>
      </c>
    </row>
    <row r="149" spans="1:9">
      <c r="A149" s="4">
        <v>1</v>
      </c>
      <c r="B149" s="5" t="s">
        <v>244</v>
      </c>
      <c r="C149" s="6">
        <v>6699</v>
      </c>
      <c r="D149" s="7">
        <v>1</v>
      </c>
      <c r="E149">
        <v>0.63</v>
      </c>
      <c r="F149" s="1">
        <v>201</v>
      </c>
      <c r="G149" s="1" t="str">
        <f>VLOOKUP(F149,'Master(Ko Xóa)'!$F$2:$H$158,3,0)</f>
        <v>Out</v>
      </c>
      <c r="H149" s="6" t="s">
        <v>1105</v>
      </c>
      <c r="I149" s="6" t="s">
        <v>1109</v>
      </c>
    </row>
    <row r="150" spans="1:9">
      <c r="A150" s="4">
        <v>1</v>
      </c>
      <c r="B150" s="5" t="s">
        <v>245</v>
      </c>
      <c r="C150" s="6">
        <v>6699</v>
      </c>
      <c r="D150" s="7">
        <v>1</v>
      </c>
      <c r="E150">
        <v>0.66800000000000004</v>
      </c>
      <c r="F150" s="1">
        <v>201</v>
      </c>
      <c r="G150" s="1" t="str">
        <f>VLOOKUP(F150,'Master(Ko Xóa)'!$F$2:$H$158,3,0)</f>
        <v>Out</v>
      </c>
      <c r="H150" s="6" t="s">
        <v>1105</v>
      </c>
      <c r="I150" s="6" t="s">
        <v>1109</v>
      </c>
    </row>
    <row r="151" spans="1:9">
      <c r="A151" s="4">
        <v>1</v>
      </c>
      <c r="B151" s="5" t="s">
        <v>246</v>
      </c>
      <c r="C151" s="6">
        <v>6699</v>
      </c>
      <c r="D151" s="7">
        <v>2</v>
      </c>
      <c r="E151">
        <v>1.1839999999999999</v>
      </c>
      <c r="F151" s="1">
        <v>201</v>
      </c>
      <c r="G151" s="1" t="str">
        <f>VLOOKUP(F151,'Master(Ko Xóa)'!$F$2:$H$158,3,0)</f>
        <v>Out</v>
      </c>
      <c r="H151" s="6" t="s">
        <v>1105</v>
      </c>
      <c r="I151" s="6" t="s">
        <v>1109</v>
      </c>
    </row>
    <row r="152" spans="1:9">
      <c r="A152" s="4">
        <v>1</v>
      </c>
      <c r="B152" s="5" t="s">
        <v>247</v>
      </c>
      <c r="C152" s="6">
        <v>6699</v>
      </c>
      <c r="D152" s="7">
        <v>1</v>
      </c>
      <c r="E152">
        <v>0.66800000000000004</v>
      </c>
      <c r="F152" s="1">
        <v>201</v>
      </c>
      <c r="G152" s="1" t="str">
        <f>VLOOKUP(F152,'Master(Ko Xóa)'!$F$2:$H$158,3,0)</f>
        <v>Out</v>
      </c>
      <c r="H152" s="6" t="s">
        <v>1105</v>
      </c>
      <c r="I152" s="6" t="s">
        <v>1109</v>
      </c>
    </row>
    <row r="153" spans="1:9">
      <c r="A153" s="4">
        <v>1</v>
      </c>
      <c r="B153" s="5" t="s">
        <v>248</v>
      </c>
      <c r="C153" s="6">
        <v>6699</v>
      </c>
      <c r="D153" s="7">
        <v>1</v>
      </c>
      <c r="E153">
        <v>2.9097499999999998</v>
      </c>
      <c r="F153" s="1">
        <v>201</v>
      </c>
      <c r="G153" s="1" t="str">
        <f>VLOOKUP(F153,'Master(Ko Xóa)'!$F$2:$H$158,3,0)</f>
        <v>Out</v>
      </c>
      <c r="H153" s="6" t="s">
        <v>1105</v>
      </c>
      <c r="I153" s="6" t="s">
        <v>1109</v>
      </c>
    </row>
    <row r="154" spans="1:9">
      <c r="A154" s="4">
        <v>1</v>
      </c>
      <c r="B154" s="5" t="s">
        <v>249</v>
      </c>
      <c r="C154" s="6">
        <v>6699</v>
      </c>
      <c r="D154" s="7">
        <v>1</v>
      </c>
      <c r="E154">
        <v>12.93</v>
      </c>
      <c r="F154" s="1">
        <v>201</v>
      </c>
      <c r="G154" s="1" t="str">
        <f>VLOOKUP(F154,'Master(Ko Xóa)'!$F$2:$H$158,3,0)</f>
        <v>Out</v>
      </c>
      <c r="H154" s="6" t="s">
        <v>1105</v>
      </c>
      <c r="I154" s="6" t="s">
        <v>1109</v>
      </c>
    </row>
    <row r="155" spans="1:9">
      <c r="A155" s="4">
        <v>1</v>
      </c>
      <c r="B155" s="5" t="s">
        <v>250</v>
      </c>
      <c r="C155" s="6">
        <v>6699</v>
      </c>
      <c r="D155" s="7">
        <v>1</v>
      </c>
      <c r="E155">
        <v>3.0550000000000002</v>
      </c>
      <c r="F155" s="1">
        <v>201</v>
      </c>
      <c r="G155" s="1" t="str">
        <f>VLOOKUP(F155,'Master(Ko Xóa)'!$F$2:$H$158,3,0)</f>
        <v>Out</v>
      </c>
      <c r="H155" s="6" t="s">
        <v>1105</v>
      </c>
      <c r="I155" s="6" t="s">
        <v>1109</v>
      </c>
    </row>
    <row r="156" spans="1:9">
      <c r="A156" s="4">
        <v>1</v>
      </c>
      <c r="B156" s="5" t="s">
        <v>251</v>
      </c>
      <c r="C156" s="6">
        <v>6699</v>
      </c>
      <c r="D156" s="7">
        <v>1</v>
      </c>
      <c r="E156">
        <v>2.8849999999999998</v>
      </c>
      <c r="F156" s="1">
        <v>201</v>
      </c>
      <c r="G156" s="1" t="str">
        <f>VLOOKUP(F156,'Master(Ko Xóa)'!$F$2:$H$158,3,0)</f>
        <v>Out</v>
      </c>
      <c r="H156" s="6" t="s">
        <v>1105</v>
      </c>
      <c r="I156" s="6" t="s">
        <v>1109</v>
      </c>
    </row>
    <row r="157" spans="1:9">
      <c r="A157" s="4">
        <v>1</v>
      </c>
      <c r="B157" s="5" t="s">
        <v>252</v>
      </c>
      <c r="C157" s="6">
        <v>6699</v>
      </c>
      <c r="D157" s="7">
        <v>1</v>
      </c>
      <c r="E157">
        <v>0.2276</v>
      </c>
      <c r="F157" s="1">
        <v>201</v>
      </c>
      <c r="G157" s="1" t="str">
        <f>VLOOKUP(F157,'Master(Ko Xóa)'!$F$2:$H$158,3,0)</f>
        <v>Out</v>
      </c>
      <c r="H157" s="6" t="s">
        <v>1105</v>
      </c>
      <c r="I157" s="6" t="s">
        <v>1109</v>
      </c>
    </row>
    <row r="158" spans="1:9">
      <c r="A158" s="4">
        <v>1</v>
      </c>
      <c r="B158" s="5" t="s">
        <v>253</v>
      </c>
      <c r="C158" s="6">
        <v>6699</v>
      </c>
      <c r="D158" s="7">
        <v>1</v>
      </c>
      <c r="E158">
        <v>1.0690999999999999</v>
      </c>
      <c r="F158" s="1">
        <v>201</v>
      </c>
      <c r="G158" s="1" t="str">
        <f>VLOOKUP(F158,'Master(Ko Xóa)'!$F$2:$H$158,3,0)</f>
        <v>Out</v>
      </c>
      <c r="H158" s="6" t="s">
        <v>1105</v>
      </c>
      <c r="I158" s="6" t="s">
        <v>1109</v>
      </c>
    </row>
    <row r="159" spans="1:9">
      <c r="A159" s="4">
        <v>1</v>
      </c>
      <c r="B159" s="5" t="s">
        <v>254</v>
      </c>
      <c r="C159" s="6">
        <v>6699</v>
      </c>
      <c r="D159" s="7">
        <v>1</v>
      </c>
      <c r="E159">
        <v>1.1568000000000001</v>
      </c>
      <c r="F159" s="1">
        <v>201</v>
      </c>
      <c r="G159" s="1" t="str">
        <f>VLOOKUP(F159,'Master(Ko Xóa)'!$F$2:$H$158,3,0)</f>
        <v>Out</v>
      </c>
      <c r="H159" s="6" t="s">
        <v>1105</v>
      </c>
      <c r="I159" s="6" t="s">
        <v>1109</v>
      </c>
    </row>
    <row r="160" spans="1:9">
      <c r="A160" s="4">
        <v>1</v>
      </c>
      <c r="B160" s="5" t="s">
        <v>255</v>
      </c>
      <c r="C160" s="6">
        <v>6699</v>
      </c>
      <c r="D160" s="7">
        <v>1</v>
      </c>
      <c r="E160">
        <v>0.10490000000000001</v>
      </c>
      <c r="F160" s="1">
        <v>201</v>
      </c>
      <c r="G160" s="1" t="str">
        <f>VLOOKUP(F160,'Master(Ko Xóa)'!$F$2:$H$158,3,0)</f>
        <v>Out</v>
      </c>
      <c r="H160" s="6" t="s">
        <v>1105</v>
      </c>
      <c r="I160" s="6" t="s">
        <v>1109</v>
      </c>
    </row>
    <row r="161" spans="1:9">
      <c r="A161" s="4">
        <v>1</v>
      </c>
      <c r="B161" s="5" t="s">
        <v>256</v>
      </c>
      <c r="C161" s="6">
        <v>6699</v>
      </c>
      <c r="D161" s="7">
        <v>1</v>
      </c>
      <c r="E161">
        <v>0.10490000000000001</v>
      </c>
      <c r="F161" s="1">
        <v>201</v>
      </c>
      <c r="G161" s="1" t="str">
        <f>VLOOKUP(F161,'Master(Ko Xóa)'!$F$2:$H$158,3,0)</f>
        <v>Out</v>
      </c>
      <c r="H161" s="6" t="s">
        <v>1105</v>
      </c>
      <c r="I161" s="6" t="s">
        <v>1109</v>
      </c>
    </row>
    <row r="162" spans="1:9">
      <c r="A162" s="4">
        <v>1</v>
      </c>
      <c r="B162" s="5" t="s">
        <v>257</v>
      </c>
      <c r="C162" s="6">
        <v>6699</v>
      </c>
      <c r="D162" s="7">
        <v>1</v>
      </c>
      <c r="E162">
        <v>0.10490000000000001</v>
      </c>
      <c r="F162" s="1">
        <v>201</v>
      </c>
      <c r="G162" s="1" t="str">
        <f>VLOOKUP(F162,'Master(Ko Xóa)'!$F$2:$H$158,3,0)</f>
        <v>Out</v>
      </c>
      <c r="H162" s="6" t="s">
        <v>1105</v>
      </c>
      <c r="I162" s="6" t="s">
        <v>1109</v>
      </c>
    </row>
    <row r="163" spans="1:9">
      <c r="A163" s="4">
        <v>1</v>
      </c>
      <c r="B163" s="5" t="s">
        <v>258</v>
      </c>
      <c r="C163" s="6">
        <v>6699</v>
      </c>
      <c r="D163" s="7">
        <v>1</v>
      </c>
      <c r="E163">
        <v>0.45768000000000003</v>
      </c>
      <c r="F163" s="1">
        <v>201</v>
      </c>
      <c r="G163" s="1" t="str">
        <f>VLOOKUP(F163,'Master(Ko Xóa)'!$F$2:$H$158,3,0)</f>
        <v>Out</v>
      </c>
      <c r="H163" s="6" t="s">
        <v>1105</v>
      </c>
      <c r="I163" s="6" t="s">
        <v>1109</v>
      </c>
    </row>
    <row r="164" spans="1:9">
      <c r="A164" s="4">
        <v>1</v>
      </c>
      <c r="B164" s="5" t="s">
        <v>259</v>
      </c>
      <c r="C164" s="6">
        <v>6699</v>
      </c>
      <c r="D164" s="7">
        <v>1</v>
      </c>
      <c r="E164">
        <v>1.2699999999999999E-2</v>
      </c>
      <c r="F164" s="1">
        <v>201</v>
      </c>
      <c r="G164" s="1" t="str">
        <f>VLOOKUP(F164,'Master(Ko Xóa)'!$F$2:$H$158,3,0)</f>
        <v>Out</v>
      </c>
      <c r="H164" s="6" t="s">
        <v>1105</v>
      </c>
      <c r="I164" s="6" t="s">
        <v>1109</v>
      </c>
    </row>
    <row r="165" spans="1:9">
      <c r="A165" s="4">
        <v>1</v>
      </c>
      <c r="B165" s="5" t="s">
        <v>260</v>
      </c>
      <c r="C165" s="6">
        <v>6699</v>
      </c>
      <c r="D165" s="7">
        <v>1</v>
      </c>
      <c r="E165">
        <v>6.5000000000000002E-2</v>
      </c>
      <c r="F165" s="1">
        <v>201</v>
      </c>
      <c r="G165" s="1" t="str">
        <f>VLOOKUP(F165,'Master(Ko Xóa)'!$F$2:$H$158,3,0)</f>
        <v>Out</v>
      </c>
      <c r="H165" s="6" t="s">
        <v>1105</v>
      </c>
      <c r="I165" s="6" t="s">
        <v>1109</v>
      </c>
    </row>
    <row r="166" spans="1:9">
      <c r="A166" s="4">
        <v>1</v>
      </c>
      <c r="B166" s="5" t="s">
        <v>261</v>
      </c>
      <c r="C166" s="6">
        <v>6699</v>
      </c>
      <c r="D166" s="7">
        <v>1</v>
      </c>
      <c r="E166">
        <v>0.83260000000000001</v>
      </c>
      <c r="F166" s="1">
        <v>201</v>
      </c>
      <c r="G166" s="1" t="str">
        <f>VLOOKUP(F166,'Master(Ko Xóa)'!$F$2:$H$158,3,0)</f>
        <v>Out</v>
      </c>
      <c r="H166" s="6" t="s">
        <v>1105</v>
      </c>
      <c r="I166" s="6" t="s">
        <v>1109</v>
      </c>
    </row>
    <row r="167" spans="1:9">
      <c r="A167" s="4">
        <v>1</v>
      </c>
      <c r="B167" s="5" t="s">
        <v>262</v>
      </c>
      <c r="C167" s="6">
        <v>6699</v>
      </c>
      <c r="D167" s="7">
        <v>1</v>
      </c>
      <c r="E167">
        <v>0.19275</v>
      </c>
      <c r="F167" s="1">
        <v>201</v>
      </c>
      <c r="G167" s="1" t="str">
        <f>VLOOKUP(F167,'Master(Ko Xóa)'!$F$2:$H$158,3,0)</f>
        <v>Out</v>
      </c>
      <c r="H167" s="6" t="s">
        <v>1105</v>
      </c>
      <c r="I167" s="6" t="s">
        <v>1109</v>
      </c>
    </row>
    <row r="168" spans="1:9">
      <c r="A168" s="4">
        <v>1</v>
      </c>
      <c r="B168" s="5" t="s">
        <v>263</v>
      </c>
      <c r="C168" s="6">
        <v>6699</v>
      </c>
      <c r="D168" s="7">
        <v>1</v>
      </c>
      <c r="E168">
        <v>0.75379999999999991</v>
      </c>
      <c r="F168" s="1">
        <v>201</v>
      </c>
      <c r="G168" s="1" t="str">
        <f>VLOOKUP(F168,'Master(Ko Xóa)'!$F$2:$H$158,3,0)</f>
        <v>Out</v>
      </c>
      <c r="H168" s="6" t="s">
        <v>1105</v>
      </c>
      <c r="I168" s="6" t="s">
        <v>1109</v>
      </c>
    </row>
    <row r="169" spans="1:9">
      <c r="A169" s="4">
        <v>1</v>
      </c>
      <c r="B169" s="5" t="s">
        <v>264</v>
      </c>
      <c r="C169" s="6">
        <v>6699</v>
      </c>
      <c r="D169" s="7">
        <v>1</v>
      </c>
      <c r="E169">
        <v>0.21093999999999999</v>
      </c>
      <c r="F169" s="1">
        <v>201</v>
      </c>
      <c r="G169" s="1" t="str">
        <f>VLOOKUP(F169,'Master(Ko Xóa)'!$F$2:$H$158,3,0)</f>
        <v>Out</v>
      </c>
      <c r="H169" s="6" t="s">
        <v>1105</v>
      </c>
      <c r="I169" s="6" t="s">
        <v>1109</v>
      </c>
    </row>
    <row r="170" spans="1:9">
      <c r="A170" s="4">
        <v>1</v>
      </c>
      <c r="B170" s="5" t="s">
        <v>265</v>
      </c>
      <c r="C170" s="6">
        <v>6699</v>
      </c>
      <c r="D170" s="7">
        <v>1</v>
      </c>
      <c r="E170">
        <v>0.125</v>
      </c>
      <c r="F170" s="1">
        <v>201</v>
      </c>
      <c r="G170" s="1" t="str">
        <f>VLOOKUP(F170,'Master(Ko Xóa)'!$F$2:$H$158,3,0)</f>
        <v>Out</v>
      </c>
      <c r="H170" s="6" t="s">
        <v>1105</v>
      </c>
      <c r="I170" s="6" t="s">
        <v>1109</v>
      </c>
    </row>
    <row r="171" spans="1:9">
      <c r="A171" s="4">
        <v>1</v>
      </c>
      <c r="B171" s="5" t="s">
        <v>266</v>
      </c>
      <c r="C171" s="6">
        <v>6699</v>
      </c>
      <c r="D171" s="7">
        <v>1</v>
      </c>
      <c r="E171">
        <v>0.24833000000000002</v>
      </c>
      <c r="F171" s="1">
        <v>201</v>
      </c>
      <c r="G171" s="1" t="str">
        <f>VLOOKUP(F171,'Master(Ko Xóa)'!$F$2:$H$158,3,0)</f>
        <v>Out</v>
      </c>
      <c r="H171" s="6" t="s">
        <v>1105</v>
      </c>
      <c r="I171" s="6" t="s">
        <v>1109</v>
      </c>
    </row>
    <row r="172" spans="1:9">
      <c r="A172" s="4">
        <v>1</v>
      </c>
      <c r="B172" s="5" t="s">
        <v>267</v>
      </c>
      <c r="C172" s="6">
        <v>6699</v>
      </c>
      <c r="D172" s="7">
        <v>1</v>
      </c>
      <c r="E172">
        <v>1.8445</v>
      </c>
      <c r="F172" s="1">
        <v>201</v>
      </c>
      <c r="G172" s="1" t="str">
        <f>VLOOKUP(F172,'Master(Ko Xóa)'!$F$2:$H$158,3,0)</f>
        <v>Out</v>
      </c>
      <c r="H172" s="6" t="s">
        <v>1105</v>
      </c>
      <c r="I172" s="6" t="s">
        <v>1109</v>
      </c>
    </row>
    <row r="173" spans="1:9">
      <c r="A173" s="4">
        <v>1</v>
      </c>
      <c r="B173" s="5" t="s">
        <v>268</v>
      </c>
      <c r="C173" s="6">
        <v>6699</v>
      </c>
      <c r="D173" s="7">
        <v>1</v>
      </c>
      <c r="E173">
        <v>1.8445</v>
      </c>
      <c r="F173" s="1">
        <v>201</v>
      </c>
      <c r="G173" s="1" t="str">
        <f>VLOOKUP(F173,'Master(Ko Xóa)'!$F$2:$H$158,3,0)</f>
        <v>Out</v>
      </c>
      <c r="H173" s="6" t="s">
        <v>1105</v>
      </c>
      <c r="I173" s="6" t="s">
        <v>1109</v>
      </c>
    </row>
    <row r="174" spans="1:9">
      <c r="A174" s="4">
        <v>1</v>
      </c>
      <c r="B174" s="5" t="s">
        <v>269</v>
      </c>
      <c r="C174" s="6">
        <v>6699</v>
      </c>
      <c r="D174" s="7">
        <v>2</v>
      </c>
      <c r="E174">
        <v>0.46460000000000001</v>
      </c>
      <c r="F174" s="1">
        <v>201</v>
      </c>
      <c r="G174" s="1" t="str">
        <f>VLOOKUP(F174,'Master(Ko Xóa)'!$F$2:$H$158,3,0)</f>
        <v>Out</v>
      </c>
      <c r="H174" s="6" t="s">
        <v>1105</v>
      </c>
      <c r="I174" s="6" t="s">
        <v>1109</v>
      </c>
    </row>
    <row r="175" spans="1:9">
      <c r="A175" s="4">
        <v>1</v>
      </c>
      <c r="B175" s="5" t="s">
        <v>270</v>
      </c>
      <c r="C175" s="6">
        <v>6699</v>
      </c>
      <c r="D175" s="7">
        <v>1</v>
      </c>
      <c r="E175">
        <v>0.11</v>
      </c>
      <c r="F175" s="1">
        <v>201</v>
      </c>
      <c r="G175" s="1" t="str">
        <f>VLOOKUP(F175,'Master(Ko Xóa)'!$F$2:$H$158,3,0)</f>
        <v>Out</v>
      </c>
      <c r="H175" s="6" t="s">
        <v>1105</v>
      </c>
      <c r="I175" s="6" t="s">
        <v>1109</v>
      </c>
    </row>
    <row r="176" spans="1:9">
      <c r="A176" s="4">
        <v>1</v>
      </c>
      <c r="B176" s="5" t="s">
        <v>271</v>
      </c>
      <c r="C176" s="6">
        <v>6699</v>
      </c>
      <c r="D176" s="7">
        <v>6</v>
      </c>
      <c r="E176">
        <v>3</v>
      </c>
      <c r="F176" s="1">
        <v>201</v>
      </c>
      <c r="G176" s="1" t="str">
        <f>VLOOKUP(F176,'Master(Ko Xóa)'!$F$2:$H$158,3,0)</f>
        <v>Out</v>
      </c>
      <c r="H176" s="6" t="s">
        <v>1105</v>
      </c>
      <c r="I176" s="6" t="s">
        <v>1109</v>
      </c>
    </row>
    <row r="177" spans="1:9">
      <c r="A177" s="4">
        <v>1</v>
      </c>
      <c r="B177" s="5" t="s">
        <v>272</v>
      </c>
      <c r="C177" s="6">
        <v>6699</v>
      </c>
      <c r="D177" s="7">
        <v>1</v>
      </c>
      <c r="E177">
        <v>0.18803999999999998</v>
      </c>
      <c r="F177" s="1">
        <v>201</v>
      </c>
      <c r="G177" s="1" t="str">
        <f>VLOOKUP(F177,'Master(Ko Xóa)'!$F$2:$H$158,3,0)</f>
        <v>Out</v>
      </c>
      <c r="H177" s="6" t="s">
        <v>1105</v>
      </c>
      <c r="I177" s="6" t="s">
        <v>1109</v>
      </c>
    </row>
    <row r="178" spans="1:9">
      <c r="A178" s="4">
        <v>1</v>
      </c>
      <c r="B178" s="5" t="s">
        <v>273</v>
      </c>
      <c r="C178" s="6">
        <v>6699</v>
      </c>
      <c r="D178" s="7">
        <v>1</v>
      </c>
      <c r="E178">
        <v>0.17849999999999999</v>
      </c>
      <c r="F178" s="1">
        <v>201</v>
      </c>
      <c r="G178" s="1" t="str">
        <f>VLOOKUP(F178,'Master(Ko Xóa)'!$F$2:$H$158,3,0)</f>
        <v>Out</v>
      </c>
      <c r="H178" s="6" t="s">
        <v>1105</v>
      </c>
      <c r="I178" s="6" t="s">
        <v>1109</v>
      </c>
    </row>
    <row r="179" spans="1:9">
      <c r="A179" s="4">
        <v>1</v>
      </c>
      <c r="B179" s="5" t="s">
        <v>274</v>
      </c>
      <c r="C179" s="6">
        <v>6699</v>
      </c>
      <c r="D179" s="7">
        <v>1</v>
      </c>
      <c r="E179">
        <v>2.4899999999999999E-2</v>
      </c>
      <c r="F179" s="1">
        <v>201</v>
      </c>
      <c r="G179" s="1" t="str">
        <f>VLOOKUP(F179,'Master(Ko Xóa)'!$F$2:$H$158,3,0)</f>
        <v>Out</v>
      </c>
      <c r="H179" s="6" t="s">
        <v>1105</v>
      </c>
      <c r="I179" s="6" t="s">
        <v>1109</v>
      </c>
    </row>
    <row r="180" spans="1:9">
      <c r="A180" s="4">
        <v>1</v>
      </c>
      <c r="B180" s="5" t="s">
        <v>275</v>
      </c>
      <c r="C180" s="6">
        <v>6699</v>
      </c>
      <c r="D180" s="7">
        <v>1</v>
      </c>
      <c r="E180">
        <v>6.1700000000000005E-2</v>
      </c>
      <c r="F180" s="1">
        <v>201</v>
      </c>
      <c r="G180" s="1" t="str">
        <f>VLOOKUP(F180,'Master(Ko Xóa)'!$F$2:$H$158,3,0)</f>
        <v>Out</v>
      </c>
      <c r="H180" s="6" t="s">
        <v>1105</v>
      </c>
      <c r="I180" s="6" t="s">
        <v>1109</v>
      </c>
    </row>
    <row r="181" spans="1:9">
      <c r="A181" s="4">
        <v>1</v>
      </c>
      <c r="B181" s="5" t="s">
        <v>276</v>
      </c>
      <c r="C181" s="6">
        <v>6699</v>
      </c>
      <c r="D181" s="7">
        <v>1</v>
      </c>
      <c r="E181">
        <v>3.5778000000000003</v>
      </c>
      <c r="F181" s="1">
        <v>201</v>
      </c>
      <c r="G181" s="1" t="str">
        <f>VLOOKUP(F181,'Master(Ko Xóa)'!$F$2:$H$158,3,0)</f>
        <v>Out</v>
      </c>
      <c r="H181" s="6" t="s">
        <v>1105</v>
      </c>
      <c r="I181" s="6" t="s">
        <v>1109</v>
      </c>
    </row>
    <row r="182" spans="1:9">
      <c r="A182" s="4">
        <v>1</v>
      </c>
      <c r="B182" s="5" t="s">
        <v>277</v>
      </c>
      <c r="C182" s="6">
        <v>6699</v>
      </c>
      <c r="D182" s="7">
        <v>1</v>
      </c>
      <c r="E182">
        <v>1.35</v>
      </c>
      <c r="F182" s="1">
        <v>201</v>
      </c>
      <c r="G182" s="1" t="str">
        <f>VLOOKUP(F182,'Master(Ko Xóa)'!$F$2:$H$158,3,0)</f>
        <v>Out</v>
      </c>
      <c r="H182" s="6" t="s">
        <v>1105</v>
      </c>
      <c r="I182" s="6" t="s">
        <v>1109</v>
      </c>
    </row>
    <row r="183" spans="1:9">
      <c r="A183" s="4">
        <v>1</v>
      </c>
      <c r="B183" s="5" t="s">
        <v>278</v>
      </c>
      <c r="C183" s="6">
        <v>6699</v>
      </c>
      <c r="D183" s="7">
        <v>2</v>
      </c>
      <c r="E183">
        <v>4.5730000000000004</v>
      </c>
      <c r="F183" s="1">
        <v>201</v>
      </c>
      <c r="G183" s="1" t="str">
        <f>VLOOKUP(F183,'Master(Ko Xóa)'!$F$2:$H$158,3,0)</f>
        <v>Out</v>
      </c>
      <c r="H183" s="6" t="s">
        <v>1105</v>
      </c>
      <c r="I183" s="6" t="s">
        <v>1109</v>
      </c>
    </row>
    <row r="184" spans="1:9">
      <c r="A184" s="4">
        <v>1</v>
      </c>
      <c r="B184" s="5" t="s">
        <v>279</v>
      </c>
      <c r="C184" s="6">
        <v>6699</v>
      </c>
      <c r="D184" s="7">
        <v>1</v>
      </c>
      <c r="E184">
        <v>11.504100000000001</v>
      </c>
      <c r="F184" s="1">
        <v>201</v>
      </c>
      <c r="G184" s="1" t="str">
        <f>VLOOKUP(F184,'Master(Ko Xóa)'!$F$2:$H$158,3,0)</f>
        <v>Out</v>
      </c>
      <c r="H184" s="6" t="s">
        <v>1105</v>
      </c>
      <c r="I184" s="6" t="s">
        <v>1109</v>
      </c>
    </row>
    <row r="185" spans="1:9">
      <c r="A185" s="4">
        <v>1</v>
      </c>
      <c r="B185" s="5" t="s">
        <v>280</v>
      </c>
      <c r="C185" s="6">
        <v>6699</v>
      </c>
      <c r="D185" s="7">
        <v>4</v>
      </c>
      <c r="E185">
        <v>9.2072000000000003</v>
      </c>
      <c r="F185" s="1">
        <v>201</v>
      </c>
      <c r="G185" s="1" t="str">
        <f>VLOOKUP(F185,'Master(Ko Xóa)'!$F$2:$H$158,3,0)</f>
        <v>Out</v>
      </c>
      <c r="H185" s="6" t="s">
        <v>1105</v>
      </c>
      <c r="I185" s="6" t="s">
        <v>1109</v>
      </c>
    </row>
    <row r="186" spans="1:9">
      <c r="A186" s="4">
        <v>1</v>
      </c>
      <c r="B186" s="5" t="s">
        <v>281</v>
      </c>
      <c r="C186" s="6">
        <v>6699</v>
      </c>
      <c r="D186" s="7">
        <v>1</v>
      </c>
      <c r="E186">
        <v>1.7726999999999999</v>
      </c>
      <c r="F186" s="1">
        <v>201</v>
      </c>
      <c r="G186" s="1" t="str">
        <f>VLOOKUP(F186,'Master(Ko Xóa)'!$F$2:$H$158,3,0)</f>
        <v>Out</v>
      </c>
      <c r="H186" s="6" t="s">
        <v>1105</v>
      </c>
      <c r="I186" s="6" t="s">
        <v>1109</v>
      </c>
    </row>
    <row r="187" spans="1:9">
      <c r="A187" s="4">
        <v>1</v>
      </c>
      <c r="B187" s="5" t="s">
        <v>282</v>
      </c>
      <c r="C187" s="6">
        <v>6699</v>
      </c>
      <c r="D187" s="7">
        <v>1</v>
      </c>
      <c r="E187">
        <v>1.7726999999999999</v>
      </c>
      <c r="F187" s="1">
        <v>201</v>
      </c>
      <c r="G187" s="1" t="str">
        <f>VLOOKUP(F187,'Master(Ko Xóa)'!$F$2:$H$158,3,0)</f>
        <v>Out</v>
      </c>
      <c r="H187" s="6" t="s">
        <v>1105</v>
      </c>
      <c r="I187" s="6" t="s">
        <v>1109</v>
      </c>
    </row>
    <row r="188" spans="1:9">
      <c r="A188" s="4">
        <v>1</v>
      </c>
      <c r="B188" s="5" t="s">
        <v>283</v>
      </c>
      <c r="C188" s="6">
        <v>6699</v>
      </c>
      <c r="D188" s="7">
        <v>1</v>
      </c>
      <c r="E188">
        <v>28.961299999999998</v>
      </c>
      <c r="F188" s="1">
        <v>201</v>
      </c>
      <c r="G188" s="1" t="str">
        <f>VLOOKUP(F188,'Master(Ko Xóa)'!$F$2:$H$158,3,0)</f>
        <v>Out</v>
      </c>
      <c r="H188" s="6" t="s">
        <v>1105</v>
      </c>
      <c r="I188" s="6" t="s">
        <v>1109</v>
      </c>
    </row>
    <row r="189" spans="1:9">
      <c r="A189" s="4">
        <v>1</v>
      </c>
      <c r="B189" s="5" t="s">
        <v>284</v>
      </c>
      <c r="C189" s="6">
        <v>6699</v>
      </c>
      <c r="D189" s="7">
        <v>1</v>
      </c>
      <c r="E189">
        <v>28.966999999999999</v>
      </c>
      <c r="F189" s="1">
        <v>201</v>
      </c>
      <c r="G189" s="1" t="str">
        <f>VLOOKUP(F189,'Master(Ko Xóa)'!$F$2:$H$158,3,0)</f>
        <v>Out</v>
      </c>
      <c r="H189" s="6" t="s">
        <v>1105</v>
      </c>
      <c r="I189" s="6" t="s">
        <v>1109</v>
      </c>
    </row>
    <row r="190" spans="1:9">
      <c r="A190" s="4">
        <v>1</v>
      </c>
      <c r="B190" s="5" t="s">
        <v>285</v>
      </c>
      <c r="C190" s="6">
        <v>6699</v>
      </c>
      <c r="D190" s="7">
        <v>1</v>
      </c>
      <c r="E190">
        <v>1.7489999999999999E-2</v>
      </c>
      <c r="F190" s="1">
        <v>201</v>
      </c>
      <c r="G190" s="1" t="str">
        <f>VLOOKUP(F190,'Master(Ko Xóa)'!$F$2:$H$158,3,0)</f>
        <v>Out</v>
      </c>
      <c r="H190" s="6" t="s">
        <v>1105</v>
      </c>
      <c r="I190" s="6" t="s">
        <v>1109</v>
      </c>
    </row>
    <row r="191" spans="1:9">
      <c r="A191" s="4">
        <v>1</v>
      </c>
      <c r="B191" s="5" t="s">
        <v>286</v>
      </c>
      <c r="C191" s="6">
        <v>6699</v>
      </c>
      <c r="D191" s="7">
        <v>1</v>
      </c>
      <c r="E191">
        <v>4.4060000000000002E-2</v>
      </c>
      <c r="F191" s="1">
        <v>201</v>
      </c>
      <c r="G191" s="1" t="str">
        <f>VLOOKUP(F191,'Master(Ko Xóa)'!$F$2:$H$158,3,0)</f>
        <v>Out</v>
      </c>
      <c r="H191" s="6" t="s">
        <v>1105</v>
      </c>
      <c r="I191" s="6" t="s">
        <v>1109</v>
      </c>
    </row>
    <row r="192" spans="1:9">
      <c r="A192" s="4">
        <v>1</v>
      </c>
      <c r="B192" s="5" t="s">
        <v>287</v>
      </c>
      <c r="C192" s="6">
        <v>6699</v>
      </c>
      <c r="D192" s="7">
        <v>2</v>
      </c>
      <c r="E192">
        <v>0.1</v>
      </c>
      <c r="F192" s="1">
        <v>201</v>
      </c>
      <c r="G192" s="1" t="str">
        <f>VLOOKUP(F192,'Master(Ko Xóa)'!$F$2:$H$158,3,0)</f>
        <v>Out</v>
      </c>
      <c r="H192" s="6" t="s">
        <v>1105</v>
      </c>
      <c r="I192" s="6" t="s">
        <v>1109</v>
      </c>
    </row>
    <row r="193" spans="1:9">
      <c r="A193" s="4">
        <v>1</v>
      </c>
      <c r="B193" s="5" t="s">
        <v>288</v>
      </c>
      <c r="C193" s="6">
        <v>6699</v>
      </c>
      <c r="D193" s="7">
        <v>1</v>
      </c>
      <c r="E193">
        <v>4.0299999999999996E-2</v>
      </c>
      <c r="F193" s="1">
        <v>201</v>
      </c>
      <c r="G193" s="1" t="str">
        <f>VLOOKUP(F193,'Master(Ko Xóa)'!$F$2:$H$158,3,0)</f>
        <v>Out</v>
      </c>
      <c r="H193" s="6" t="s">
        <v>1105</v>
      </c>
      <c r="I193" s="6" t="s">
        <v>1109</v>
      </c>
    </row>
    <row r="194" spans="1:9">
      <c r="A194" s="4">
        <v>1</v>
      </c>
      <c r="B194" s="5" t="s">
        <v>289</v>
      </c>
      <c r="C194" s="6">
        <v>6699</v>
      </c>
      <c r="D194" s="7">
        <v>1</v>
      </c>
      <c r="E194">
        <v>8.85</v>
      </c>
      <c r="F194" s="1">
        <v>201</v>
      </c>
      <c r="G194" s="1" t="str">
        <f>VLOOKUP(F194,'Master(Ko Xóa)'!$F$2:$H$158,3,0)</f>
        <v>Out</v>
      </c>
      <c r="H194" s="6" t="s">
        <v>1105</v>
      </c>
      <c r="I194" s="6" t="s">
        <v>1109</v>
      </c>
    </row>
    <row r="195" spans="1:9">
      <c r="A195" s="4">
        <v>1</v>
      </c>
      <c r="B195" s="5" t="s">
        <v>290</v>
      </c>
      <c r="C195" s="6">
        <v>6699</v>
      </c>
      <c r="D195" s="7">
        <v>1</v>
      </c>
      <c r="E195">
        <v>1.48028</v>
      </c>
      <c r="F195" s="1">
        <v>201</v>
      </c>
      <c r="G195" s="1" t="str">
        <f>VLOOKUP(F195,'Master(Ko Xóa)'!$F$2:$H$158,3,0)</f>
        <v>Out</v>
      </c>
      <c r="H195" s="6" t="s">
        <v>1105</v>
      </c>
      <c r="I195" s="6" t="s">
        <v>1109</v>
      </c>
    </row>
    <row r="196" spans="1:9">
      <c r="A196" s="4">
        <v>1</v>
      </c>
      <c r="B196" s="5" t="s">
        <v>291</v>
      </c>
      <c r="C196" s="6">
        <v>6699</v>
      </c>
      <c r="D196" s="7">
        <v>1</v>
      </c>
      <c r="E196">
        <v>10.7</v>
      </c>
      <c r="F196" s="1">
        <v>201</v>
      </c>
      <c r="G196" s="1" t="str">
        <f>VLOOKUP(F196,'Master(Ko Xóa)'!$F$2:$H$158,3,0)</f>
        <v>Out</v>
      </c>
      <c r="H196" s="6" t="s">
        <v>1105</v>
      </c>
      <c r="I196" s="6" t="s">
        <v>1109</v>
      </c>
    </row>
    <row r="197" spans="1:9">
      <c r="A197" s="4">
        <v>1</v>
      </c>
      <c r="B197" s="5" t="s">
        <v>292</v>
      </c>
      <c r="C197" s="6">
        <v>6699</v>
      </c>
      <c r="D197" s="7">
        <v>1</v>
      </c>
      <c r="E197">
        <v>0.39137</v>
      </c>
      <c r="F197" s="1">
        <v>201</v>
      </c>
      <c r="G197" s="1" t="str">
        <f>VLOOKUP(F197,'Master(Ko Xóa)'!$F$2:$H$158,3,0)</f>
        <v>Out</v>
      </c>
      <c r="H197" s="6" t="s">
        <v>1105</v>
      </c>
      <c r="I197" s="6" t="s">
        <v>1109</v>
      </c>
    </row>
    <row r="198" spans="1:9">
      <c r="A198" s="4">
        <v>1</v>
      </c>
      <c r="B198" s="5" t="s">
        <v>293</v>
      </c>
      <c r="C198" s="6">
        <v>6699</v>
      </c>
      <c r="D198" s="7">
        <v>1</v>
      </c>
      <c r="E198">
        <v>0.17032</v>
      </c>
      <c r="F198" s="1">
        <v>201</v>
      </c>
      <c r="G198" s="1" t="str">
        <f>VLOOKUP(F198,'Master(Ko Xóa)'!$F$2:$H$158,3,0)</f>
        <v>Out</v>
      </c>
      <c r="H198" s="6" t="s">
        <v>1105</v>
      </c>
      <c r="I198" s="6" t="s">
        <v>1109</v>
      </c>
    </row>
    <row r="199" spans="1:9">
      <c r="A199" s="4">
        <v>1</v>
      </c>
      <c r="B199" s="5" t="s">
        <v>294</v>
      </c>
      <c r="C199" s="6">
        <v>6699</v>
      </c>
      <c r="D199" s="7">
        <v>1</v>
      </c>
      <c r="E199">
        <v>0.42530000000000001</v>
      </c>
      <c r="F199" s="1">
        <v>201</v>
      </c>
      <c r="G199" s="1" t="str">
        <f>VLOOKUP(F199,'Master(Ko Xóa)'!$F$2:$H$158,3,0)</f>
        <v>Out</v>
      </c>
      <c r="H199" s="6" t="s">
        <v>1105</v>
      </c>
      <c r="I199" s="6" t="s">
        <v>1109</v>
      </c>
    </row>
    <row r="200" spans="1:9">
      <c r="A200" s="4">
        <v>1</v>
      </c>
      <c r="B200" s="5" t="s">
        <v>295</v>
      </c>
      <c r="C200" s="6">
        <v>6699</v>
      </c>
      <c r="D200" s="7">
        <v>1</v>
      </c>
      <c r="E200">
        <v>0.16200000000000001</v>
      </c>
      <c r="F200" s="1">
        <v>201</v>
      </c>
      <c r="G200" s="1" t="str">
        <f>VLOOKUP(F200,'Master(Ko Xóa)'!$F$2:$H$158,3,0)</f>
        <v>Out</v>
      </c>
      <c r="H200" s="6" t="s">
        <v>1105</v>
      </c>
      <c r="I200" s="6" t="s">
        <v>1109</v>
      </c>
    </row>
    <row r="201" spans="1:9">
      <c r="A201" s="4">
        <v>1</v>
      </c>
      <c r="B201" s="5" t="s">
        <v>296</v>
      </c>
      <c r="C201" s="6">
        <v>6699</v>
      </c>
      <c r="D201" s="7">
        <v>1</v>
      </c>
      <c r="E201">
        <v>0.37569999999999998</v>
      </c>
      <c r="F201" s="1">
        <v>201</v>
      </c>
      <c r="G201" s="1" t="str">
        <f>VLOOKUP(F201,'Master(Ko Xóa)'!$F$2:$H$158,3,0)</f>
        <v>Out</v>
      </c>
      <c r="H201" s="6" t="s">
        <v>1105</v>
      </c>
      <c r="I201" s="6" t="s">
        <v>1109</v>
      </c>
    </row>
    <row r="202" spans="1:9">
      <c r="A202" s="4">
        <v>1</v>
      </c>
      <c r="B202" s="5" t="s">
        <v>297</v>
      </c>
      <c r="C202" s="6">
        <v>6699</v>
      </c>
      <c r="D202" s="7">
        <v>1</v>
      </c>
      <c r="E202">
        <v>4.7E-2</v>
      </c>
      <c r="F202" s="1">
        <v>201</v>
      </c>
      <c r="G202" s="1" t="str">
        <f>VLOOKUP(F202,'Master(Ko Xóa)'!$F$2:$H$158,3,0)</f>
        <v>Out</v>
      </c>
      <c r="H202" s="6" t="s">
        <v>1105</v>
      </c>
      <c r="I202" s="6" t="s">
        <v>1109</v>
      </c>
    </row>
    <row r="203" spans="1:9">
      <c r="A203" s="4">
        <v>1</v>
      </c>
      <c r="B203" s="5" t="s">
        <v>298</v>
      </c>
      <c r="C203" s="6">
        <v>6699</v>
      </c>
      <c r="D203" s="7">
        <v>1</v>
      </c>
      <c r="E203">
        <v>0.45200000000000001</v>
      </c>
      <c r="F203" s="1">
        <v>201</v>
      </c>
      <c r="G203" s="1" t="str">
        <f>VLOOKUP(F203,'Master(Ko Xóa)'!$F$2:$H$158,3,0)</f>
        <v>Out</v>
      </c>
      <c r="H203" s="6" t="s">
        <v>1105</v>
      </c>
      <c r="I203" s="6" t="s">
        <v>1109</v>
      </c>
    </row>
    <row r="204" spans="1:9">
      <c r="A204" s="4">
        <v>1</v>
      </c>
      <c r="B204" s="5" t="s">
        <v>299</v>
      </c>
      <c r="C204" s="6">
        <v>6699</v>
      </c>
      <c r="D204" s="7">
        <v>1</v>
      </c>
      <c r="E204">
        <v>0.27500000000000002</v>
      </c>
      <c r="F204" s="1">
        <v>201</v>
      </c>
      <c r="G204" s="1" t="str">
        <f>VLOOKUP(F204,'Master(Ko Xóa)'!$F$2:$H$158,3,0)</f>
        <v>Out</v>
      </c>
      <c r="H204" s="6" t="s">
        <v>1105</v>
      </c>
      <c r="I204" s="6" t="s">
        <v>1109</v>
      </c>
    </row>
    <row r="205" spans="1:9">
      <c r="A205" s="4">
        <v>1</v>
      </c>
      <c r="B205" s="5" t="s">
        <v>300</v>
      </c>
      <c r="C205" s="6">
        <v>6699</v>
      </c>
      <c r="D205" s="7">
        <v>1</v>
      </c>
      <c r="E205">
        <v>0.34449999999999997</v>
      </c>
      <c r="F205" s="1">
        <v>201</v>
      </c>
      <c r="G205" s="1" t="str">
        <f>VLOOKUP(F205,'Master(Ko Xóa)'!$F$2:$H$158,3,0)</f>
        <v>Out</v>
      </c>
      <c r="H205" s="6" t="s">
        <v>1105</v>
      </c>
      <c r="I205" s="6" t="s">
        <v>1109</v>
      </c>
    </row>
    <row r="206" spans="1:9">
      <c r="A206" s="4">
        <v>1</v>
      </c>
      <c r="B206" s="5" t="s">
        <v>301</v>
      </c>
      <c r="C206" s="6">
        <v>6699</v>
      </c>
      <c r="D206" s="7">
        <v>1</v>
      </c>
      <c r="E206">
        <v>8.3000000000000001E-3</v>
      </c>
      <c r="F206" s="1">
        <v>201</v>
      </c>
      <c r="G206" s="1" t="str">
        <f>VLOOKUP(F206,'Master(Ko Xóa)'!$F$2:$H$158,3,0)</f>
        <v>Out</v>
      </c>
      <c r="H206" s="6" t="s">
        <v>1105</v>
      </c>
      <c r="I206" s="6" t="s">
        <v>1109</v>
      </c>
    </row>
    <row r="207" spans="1:9">
      <c r="A207" s="4">
        <v>1</v>
      </c>
      <c r="B207" s="5" t="s">
        <v>302</v>
      </c>
      <c r="C207" s="6">
        <v>6699</v>
      </c>
      <c r="D207" s="7">
        <v>1</v>
      </c>
      <c r="E207">
        <v>6.7499999999999999E-3</v>
      </c>
      <c r="F207" s="1">
        <v>201</v>
      </c>
      <c r="G207" s="1" t="str">
        <f>VLOOKUP(F207,'Master(Ko Xóa)'!$F$2:$H$158,3,0)</f>
        <v>Out</v>
      </c>
      <c r="H207" s="6" t="s">
        <v>1105</v>
      </c>
      <c r="I207" s="6" t="s">
        <v>1109</v>
      </c>
    </row>
    <row r="208" spans="1:9">
      <c r="A208" s="4">
        <v>1</v>
      </c>
      <c r="B208" s="5" t="s">
        <v>303</v>
      </c>
      <c r="C208" s="6">
        <v>6699</v>
      </c>
      <c r="D208" s="7">
        <v>1</v>
      </c>
      <c r="E208">
        <v>3.6289999999999996E-2</v>
      </c>
      <c r="F208" s="1">
        <v>201</v>
      </c>
      <c r="G208" s="1" t="str">
        <f>VLOOKUP(F208,'Master(Ko Xóa)'!$F$2:$H$158,3,0)</f>
        <v>Out</v>
      </c>
      <c r="H208" s="6" t="s">
        <v>1105</v>
      </c>
      <c r="I208" s="6" t="s">
        <v>1109</v>
      </c>
    </row>
    <row r="209" spans="1:9">
      <c r="A209" s="4">
        <v>1</v>
      </c>
      <c r="B209" s="5" t="s">
        <v>304</v>
      </c>
      <c r="C209" s="6">
        <v>6699</v>
      </c>
      <c r="D209" s="7">
        <v>1</v>
      </c>
      <c r="E209">
        <v>8.0600000000000012E-3</v>
      </c>
      <c r="F209" s="1">
        <v>201</v>
      </c>
      <c r="G209" s="1" t="str">
        <f>VLOOKUP(F209,'Master(Ko Xóa)'!$F$2:$H$158,3,0)</f>
        <v>Out</v>
      </c>
      <c r="H209" s="6" t="s">
        <v>1105</v>
      </c>
      <c r="I209" s="6" t="s">
        <v>1109</v>
      </c>
    </row>
    <row r="210" spans="1:9">
      <c r="A210" s="4">
        <v>1</v>
      </c>
      <c r="B210" s="5" t="s">
        <v>305</v>
      </c>
      <c r="C210" s="6">
        <v>6699</v>
      </c>
      <c r="D210" s="7">
        <v>1</v>
      </c>
      <c r="E210">
        <v>3.5000000000000003E-2</v>
      </c>
      <c r="F210" s="1">
        <v>201</v>
      </c>
      <c r="G210" s="1" t="str">
        <f>VLOOKUP(F210,'Master(Ko Xóa)'!$F$2:$H$158,3,0)</f>
        <v>Out</v>
      </c>
      <c r="H210" s="6" t="s">
        <v>1105</v>
      </c>
      <c r="I210" s="6" t="s">
        <v>1109</v>
      </c>
    </row>
    <row r="211" spans="1:9">
      <c r="A211" s="4">
        <v>1</v>
      </c>
      <c r="B211" s="5" t="s">
        <v>306</v>
      </c>
      <c r="C211" s="6">
        <v>6699</v>
      </c>
      <c r="D211" s="7">
        <v>1</v>
      </c>
      <c r="E211">
        <v>0.01</v>
      </c>
      <c r="F211" s="1">
        <v>201</v>
      </c>
      <c r="G211" s="1" t="str">
        <f>VLOOKUP(F211,'Master(Ko Xóa)'!$F$2:$H$158,3,0)</f>
        <v>Out</v>
      </c>
      <c r="H211" s="6" t="s">
        <v>1105</v>
      </c>
      <c r="I211" s="6" t="s">
        <v>1109</v>
      </c>
    </row>
    <row r="212" spans="1:9">
      <c r="A212" s="4">
        <v>1</v>
      </c>
      <c r="B212" s="5" t="s">
        <v>307</v>
      </c>
      <c r="C212" s="6">
        <v>5699</v>
      </c>
      <c r="D212" s="7">
        <v>5</v>
      </c>
      <c r="E212">
        <v>0.1925</v>
      </c>
      <c r="F212" s="1">
        <v>201</v>
      </c>
      <c r="G212" s="1" t="str">
        <f>VLOOKUP(F212,'Master(Ko Xóa)'!$F$2:$H$158,3,0)</f>
        <v>Out</v>
      </c>
      <c r="H212" s="6" t="s">
        <v>1106</v>
      </c>
      <c r="I212" s="6" t="s">
        <v>1110</v>
      </c>
    </row>
    <row r="213" spans="1:9">
      <c r="A213" s="4">
        <v>1</v>
      </c>
      <c r="B213" s="5" t="s">
        <v>308</v>
      </c>
      <c r="C213" s="6">
        <v>5699</v>
      </c>
      <c r="D213" s="7">
        <v>1</v>
      </c>
      <c r="E213">
        <v>0.67270000000000008</v>
      </c>
      <c r="F213" s="1">
        <v>201</v>
      </c>
      <c r="G213" s="1" t="str">
        <f>VLOOKUP(F213,'Master(Ko Xóa)'!$F$2:$H$158,3,0)</f>
        <v>Out</v>
      </c>
      <c r="H213" s="6" t="s">
        <v>1106</v>
      </c>
      <c r="I213" s="6" t="s">
        <v>1110</v>
      </c>
    </row>
    <row r="214" spans="1:9">
      <c r="A214" s="4">
        <v>1</v>
      </c>
      <c r="B214" s="5" t="s">
        <v>309</v>
      </c>
      <c r="C214" s="6">
        <v>5699</v>
      </c>
      <c r="D214" s="7">
        <v>1</v>
      </c>
      <c r="E214">
        <v>6.0396899999999993</v>
      </c>
      <c r="F214" s="1">
        <v>201</v>
      </c>
      <c r="G214" s="1" t="str">
        <f>VLOOKUP(F214,'Master(Ko Xóa)'!$F$2:$H$158,3,0)</f>
        <v>Out</v>
      </c>
      <c r="H214" s="6" t="s">
        <v>1106</v>
      </c>
      <c r="I214" s="6" t="s">
        <v>1110</v>
      </c>
    </row>
    <row r="215" spans="1:9">
      <c r="A215" s="4">
        <v>1</v>
      </c>
      <c r="B215" s="5" t="s">
        <v>310</v>
      </c>
      <c r="C215" s="6">
        <v>5699</v>
      </c>
      <c r="D215" s="7">
        <v>1</v>
      </c>
      <c r="E215">
        <v>8.1752599999999997</v>
      </c>
      <c r="F215" s="1">
        <v>201</v>
      </c>
      <c r="G215" s="1" t="str">
        <f>VLOOKUP(F215,'Master(Ko Xóa)'!$F$2:$H$158,3,0)</f>
        <v>Out</v>
      </c>
      <c r="H215" s="6" t="s">
        <v>1106</v>
      </c>
      <c r="I215" s="6" t="s">
        <v>1110</v>
      </c>
    </row>
    <row r="216" spans="1:9">
      <c r="A216" s="4">
        <v>1</v>
      </c>
      <c r="B216" s="5" t="s">
        <v>311</v>
      </c>
      <c r="C216" s="6">
        <v>5699</v>
      </c>
      <c r="D216" s="7">
        <v>1</v>
      </c>
      <c r="E216">
        <v>17.206189999999999</v>
      </c>
      <c r="F216" s="1">
        <v>201</v>
      </c>
      <c r="G216" s="1" t="str">
        <f>VLOOKUP(F216,'Master(Ko Xóa)'!$F$2:$H$158,3,0)</f>
        <v>Out</v>
      </c>
      <c r="H216" s="6" t="s">
        <v>1106</v>
      </c>
      <c r="I216" s="6" t="s">
        <v>1110</v>
      </c>
    </row>
    <row r="217" spans="1:9">
      <c r="A217" s="4">
        <v>1</v>
      </c>
      <c r="B217" s="5" t="s">
        <v>312</v>
      </c>
      <c r="C217" s="6">
        <v>5699</v>
      </c>
      <c r="D217" s="7">
        <v>1</v>
      </c>
      <c r="E217">
        <v>5.3999999999999999E-2</v>
      </c>
      <c r="F217" s="1">
        <v>201</v>
      </c>
      <c r="G217" s="1" t="str">
        <f>VLOOKUP(F217,'Master(Ko Xóa)'!$F$2:$H$158,3,0)</f>
        <v>Out</v>
      </c>
      <c r="H217" s="6" t="s">
        <v>1106</v>
      </c>
      <c r="I217" s="6" t="s">
        <v>1110</v>
      </c>
    </row>
    <row r="218" spans="1:9">
      <c r="A218" s="4">
        <v>1</v>
      </c>
      <c r="B218" s="5" t="s">
        <v>313</v>
      </c>
      <c r="C218" s="6">
        <v>5699</v>
      </c>
      <c r="D218" s="7">
        <v>1</v>
      </c>
      <c r="E218">
        <v>0.63500000000000001</v>
      </c>
      <c r="F218" s="1">
        <v>201</v>
      </c>
      <c r="G218" s="1" t="str">
        <f>VLOOKUP(F218,'Master(Ko Xóa)'!$F$2:$H$158,3,0)</f>
        <v>Out</v>
      </c>
      <c r="H218" s="6" t="s">
        <v>1106</v>
      </c>
      <c r="I218" s="6" t="s">
        <v>1110</v>
      </c>
    </row>
    <row r="219" spans="1:9">
      <c r="A219" s="4">
        <v>1</v>
      </c>
      <c r="B219" s="5" t="s">
        <v>314</v>
      </c>
      <c r="C219" s="6">
        <v>9699</v>
      </c>
      <c r="D219" s="7">
        <v>1</v>
      </c>
      <c r="E219">
        <v>1.5680999999999998</v>
      </c>
      <c r="F219" s="1">
        <v>201</v>
      </c>
      <c r="G219" s="1" t="str">
        <f>VLOOKUP(F219,'Master(Ko Xóa)'!$F$2:$H$158,3,0)</f>
        <v>Out</v>
      </c>
      <c r="H219" s="6" t="s">
        <v>1107</v>
      </c>
      <c r="I219" s="6" t="s">
        <v>1111</v>
      </c>
    </row>
    <row r="220" spans="1:9">
      <c r="A220" s="4">
        <v>1</v>
      </c>
      <c r="B220" s="5" t="s">
        <v>315</v>
      </c>
      <c r="C220" s="6">
        <v>9699</v>
      </c>
      <c r="D220" s="7">
        <v>1</v>
      </c>
      <c r="E220">
        <v>1.32E-2</v>
      </c>
      <c r="F220" s="1">
        <v>201</v>
      </c>
      <c r="G220" s="1" t="str">
        <f>VLOOKUP(F220,'Master(Ko Xóa)'!$F$2:$H$158,3,0)</f>
        <v>Out</v>
      </c>
      <c r="H220" s="6" t="s">
        <v>1107</v>
      </c>
      <c r="I220" s="6" t="s">
        <v>1111</v>
      </c>
    </row>
    <row r="221" spans="1:9">
      <c r="A221" s="4">
        <v>1</v>
      </c>
      <c r="B221" s="5" t="s">
        <v>316</v>
      </c>
      <c r="C221" s="6">
        <v>9699</v>
      </c>
      <c r="D221" s="7">
        <v>2</v>
      </c>
      <c r="E221">
        <v>0.15140000000000001</v>
      </c>
      <c r="F221" s="1">
        <v>201</v>
      </c>
      <c r="G221" s="1" t="str">
        <f>VLOOKUP(F221,'Master(Ko Xóa)'!$F$2:$H$158,3,0)</f>
        <v>Out</v>
      </c>
      <c r="H221" s="6" t="s">
        <v>1107</v>
      </c>
      <c r="I221" s="6" t="s">
        <v>1111</v>
      </c>
    </row>
    <row r="222" spans="1:9">
      <c r="A222" s="4">
        <v>1</v>
      </c>
      <c r="B222" s="5" t="s">
        <v>317</v>
      </c>
      <c r="C222" s="6">
        <v>9699</v>
      </c>
      <c r="D222" s="7">
        <v>2</v>
      </c>
      <c r="E222">
        <v>6.0240000000000002E-2</v>
      </c>
      <c r="F222" s="1">
        <v>201</v>
      </c>
      <c r="G222" s="1" t="str">
        <f>VLOOKUP(F222,'Master(Ko Xóa)'!$F$2:$H$158,3,0)</f>
        <v>Out</v>
      </c>
      <c r="H222" s="6" t="s">
        <v>1107</v>
      </c>
      <c r="I222" s="6" t="s">
        <v>1111</v>
      </c>
    </row>
    <row r="223" spans="1:9">
      <c r="A223" s="4">
        <v>1</v>
      </c>
      <c r="B223" s="5" t="s">
        <v>318</v>
      </c>
      <c r="C223" s="6">
        <v>9699</v>
      </c>
      <c r="D223" s="7">
        <v>1</v>
      </c>
      <c r="E223">
        <v>3.5000000000000001E-3</v>
      </c>
      <c r="F223" s="1">
        <v>201</v>
      </c>
      <c r="G223" s="1" t="str">
        <f>VLOOKUP(F223,'Master(Ko Xóa)'!$F$2:$H$158,3,0)</f>
        <v>Out</v>
      </c>
      <c r="H223" s="6" t="s">
        <v>1107</v>
      </c>
      <c r="I223" s="6" t="s">
        <v>1111</v>
      </c>
    </row>
    <row r="224" spans="1:9">
      <c r="A224" s="4">
        <v>1</v>
      </c>
      <c r="B224" s="5" t="s">
        <v>319</v>
      </c>
      <c r="C224" s="6">
        <v>9699</v>
      </c>
      <c r="D224" s="7">
        <v>1</v>
      </c>
      <c r="E224">
        <v>9.2827000000000002</v>
      </c>
      <c r="F224" s="1">
        <v>201</v>
      </c>
      <c r="G224" s="1" t="str">
        <f>VLOOKUP(F224,'Master(Ko Xóa)'!$F$2:$H$158,3,0)</f>
        <v>Out</v>
      </c>
      <c r="H224" s="6" t="s">
        <v>1107</v>
      </c>
      <c r="I224" s="6" t="s">
        <v>1111</v>
      </c>
    </row>
    <row r="225" spans="1:9">
      <c r="A225" s="4">
        <v>1</v>
      </c>
      <c r="B225" s="5" t="s">
        <v>320</v>
      </c>
      <c r="C225" s="6">
        <v>9699</v>
      </c>
      <c r="D225" s="7">
        <v>1</v>
      </c>
      <c r="E225">
        <v>0.17065</v>
      </c>
      <c r="F225" s="1">
        <v>201</v>
      </c>
      <c r="G225" s="1" t="str">
        <f>VLOOKUP(F225,'Master(Ko Xóa)'!$F$2:$H$158,3,0)</f>
        <v>Out</v>
      </c>
      <c r="H225" s="6" t="s">
        <v>1107</v>
      </c>
      <c r="I225" s="6" t="s">
        <v>1111</v>
      </c>
    </row>
    <row r="226" spans="1:9">
      <c r="A226" s="4">
        <v>1</v>
      </c>
      <c r="B226" s="5" t="s">
        <v>321</v>
      </c>
      <c r="C226" s="6">
        <v>9699</v>
      </c>
      <c r="D226" s="7">
        <v>10</v>
      </c>
      <c r="E226">
        <v>5.4999999999999993E-2</v>
      </c>
      <c r="F226" s="1">
        <v>201</v>
      </c>
      <c r="G226" s="1" t="str">
        <f>VLOOKUP(F226,'Master(Ko Xóa)'!$F$2:$H$158,3,0)</f>
        <v>Out</v>
      </c>
      <c r="H226" s="6" t="s">
        <v>1107</v>
      </c>
      <c r="I226" s="6" t="s">
        <v>1111</v>
      </c>
    </row>
    <row r="227" spans="1:9">
      <c r="A227" s="4">
        <v>1</v>
      </c>
      <c r="B227" s="5" t="s">
        <v>322</v>
      </c>
      <c r="C227" s="6">
        <v>9699</v>
      </c>
      <c r="D227" s="7">
        <v>5</v>
      </c>
      <c r="E227">
        <v>2.6800000000000001E-2</v>
      </c>
      <c r="F227" s="1">
        <v>201</v>
      </c>
      <c r="G227" s="1" t="str">
        <f>VLOOKUP(F227,'Master(Ko Xóa)'!$F$2:$H$158,3,0)</f>
        <v>Out</v>
      </c>
      <c r="H227" s="6" t="s">
        <v>1107</v>
      </c>
      <c r="I227" s="6" t="s">
        <v>1111</v>
      </c>
    </row>
    <row r="228" spans="1:9">
      <c r="A228" s="4">
        <v>1</v>
      </c>
      <c r="B228" s="5" t="s">
        <v>323</v>
      </c>
      <c r="C228" s="6">
        <v>9699</v>
      </c>
      <c r="D228" s="7">
        <v>10</v>
      </c>
      <c r="E228">
        <v>5.1399999999999994E-2</v>
      </c>
      <c r="F228" s="1">
        <v>201</v>
      </c>
      <c r="G228" s="1" t="str">
        <f>VLOOKUP(F228,'Master(Ko Xóa)'!$F$2:$H$158,3,0)</f>
        <v>Out</v>
      </c>
      <c r="H228" s="6" t="s">
        <v>1107</v>
      </c>
      <c r="I228" s="6" t="s">
        <v>1111</v>
      </c>
    </row>
    <row r="229" spans="1:9">
      <c r="A229" s="4">
        <v>1</v>
      </c>
      <c r="B229" s="5" t="s">
        <v>324</v>
      </c>
      <c r="C229" s="6">
        <v>9699</v>
      </c>
      <c r="D229" s="7">
        <v>20</v>
      </c>
      <c r="E229">
        <v>1.0062</v>
      </c>
      <c r="F229" s="1">
        <v>201</v>
      </c>
      <c r="G229" s="1" t="str">
        <f>VLOOKUP(F229,'Master(Ko Xóa)'!$F$2:$H$158,3,0)</f>
        <v>Out</v>
      </c>
      <c r="H229" s="6" t="s">
        <v>1107</v>
      </c>
      <c r="I229" s="6" t="s">
        <v>1111</v>
      </c>
    </row>
    <row r="230" spans="1:9">
      <c r="A230" s="4">
        <v>1</v>
      </c>
      <c r="B230" s="5" t="s">
        <v>129</v>
      </c>
      <c r="C230" s="6">
        <v>9699</v>
      </c>
      <c r="D230" s="7">
        <v>5</v>
      </c>
      <c r="E230">
        <v>2.785E-2</v>
      </c>
      <c r="F230" s="1">
        <v>201</v>
      </c>
      <c r="G230" s="1" t="str">
        <f>VLOOKUP(F230,'Master(Ko Xóa)'!$F$2:$H$158,3,0)</f>
        <v>Out</v>
      </c>
      <c r="H230" s="6" t="s">
        <v>1107</v>
      </c>
      <c r="I230" s="6" t="s">
        <v>1111</v>
      </c>
    </row>
    <row r="231" spans="1:9">
      <c r="A231" s="4">
        <v>1</v>
      </c>
      <c r="B231" s="5" t="s">
        <v>325</v>
      </c>
      <c r="C231" s="6">
        <v>9699</v>
      </c>
      <c r="D231" s="7">
        <v>5</v>
      </c>
      <c r="E231">
        <v>2.5699999999999997E-2</v>
      </c>
      <c r="F231" s="1">
        <v>201</v>
      </c>
      <c r="G231" s="1" t="str">
        <f>VLOOKUP(F231,'Master(Ko Xóa)'!$F$2:$H$158,3,0)</f>
        <v>Out</v>
      </c>
      <c r="H231" s="6" t="s">
        <v>1107</v>
      </c>
      <c r="I231" s="6" t="s">
        <v>1111</v>
      </c>
    </row>
    <row r="232" spans="1:9">
      <c r="A232" s="4">
        <v>1</v>
      </c>
      <c r="B232" s="5" t="s">
        <v>326</v>
      </c>
      <c r="C232" s="6">
        <v>9699</v>
      </c>
      <c r="D232" s="7">
        <v>5</v>
      </c>
      <c r="E232">
        <v>2.785E-2</v>
      </c>
      <c r="F232" s="1">
        <v>201</v>
      </c>
      <c r="G232" s="1" t="str">
        <f>VLOOKUP(F232,'Master(Ko Xóa)'!$F$2:$H$158,3,0)</f>
        <v>Out</v>
      </c>
      <c r="H232" s="6" t="s">
        <v>1107</v>
      </c>
      <c r="I232" s="6" t="s">
        <v>1111</v>
      </c>
    </row>
    <row r="233" spans="1:9">
      <c r="A233" s="4">
        <v>1</v>
      </c>
      <c r="B233" s="5" t="s">
        <v>327</v>
      </c>
      <c r="C233" s="6">
        <v>9699</v>
      </c>
      <c r="D233" s="7">
        <v>2</v>
      </c>
      <c r="E233">
        <v>2.8899999999999999E-2</v>
      </c>
      <c r="F233" s="1">
        <v>201</v>
      </c>
      <c r="G233" s="1" t="str">
        <f>VLOOKUP(F233,'Master(Ko Xóa)'!$F$2:$H$158,3,0)</f>
        <v>Out</v>
      </c>
      <c r="H233" s="6" t="s">
        <v>1107</v>
      </c>
      <c r="I233" s="6" t="s">
        <v>1111</v>
      </c>
    </row>
    <row r="234" spans="1:9">
      <c r="A234" s="4">
        <v>1</v>
      </c>
      <c r="B234" s="5" t="s">
        <v>134</v>
      </c>
      <c r="C234" s="6">
        <v>9699</v>
      </c>
      <c r="D234" s="7">
        <v>5</v>
      </c>
      <c r="E234">
        <v>5.355E-2</v>
      </c>
      <c r="F234" s="1">
        <v>201</v>
      </c>
      <c r="G234" s="1" t="str">
        <f>VLOOKUP(F234,'Master(Ko Xóa)'!$F$2:$H$158,3,0)</f>
        <v>Out</v>
      </c>
      <c r="H234" s="6" t="s">
        <v>1107</v>
      </c>
      <c r="I234" s="6" t="s">
        <v>1111</v>
      </c>
    </row>
    <row r="235" spans="1:9">
      <c r="A235" s="4">
        <v>1</v>
      </c>
      <c r="B235" s="5" t="s">
        <v>328</v>
      </c>
      <c r="C235" s="6">
        <v>9699</v>
      </c>
      <c r="D235" s="7">
        <v>5</v>
      </c>
      <c r="E235">
        <v>0.27965000000000001</v>
      </c>
      <c r="F235" s="1">
        <v>201</v>
      </c>
      <c r="G235" s="1" t="str">
        <f>VLOOKUP(F235,'Master(Ko Xóa)'!$F$2:$H$158,3,0)</f>
        <v>Out</v>
      </c>
      <c r="H235" s="6" t="s">
        <v>1107</v>
      </c>
      <c r="I235" s="6" t="s">
        <v>1111</v>
      </c>
    </row>
    <row r="236" spans="1:9">
      <c r="A236" s="4">
        <v>1</v>
      </c>
      <c r="B236" s="5" t="s">
        <v>329</v>
      </c>
      <c r="C236" s="6">
        <v>9699</v>
      </c>
      <c r="D236" s="7">
        <v>5</v>
      </c>
      <c r="E236">
        <v>1.2068999999999999</v>
      </c>
      <c r="F236" s="1">
        <v>201</v>
      </c>
      <c r="G236" s="1" t="str">
        <f>VLOOKUP(F236,'Master(Ko Xóa)'!$F$2:$H$158,3,0)</f>
        <v>Out</v>
      </c>
      <c r="H236" s="6" t="s">
        <v>1107</v>
      </c>
      <c r="I236" s="6" t="s">
        <v>1111</v>
      </c>
    </row>
    <row r="237" spans="1:9">
      <c r="A237" s="4">
        <v>1</v>
      </c>
      <c r="B237" s="5" t="s">
        <v>330</v>
      </c>
      <c r="C237" s="6">
        <v>9699</v>
      </c>
      <c r="D237" s="7">
        <v>5</v>
      </c>
      <c r="E237">
        <v>2.9649999999999996E-2</v>
      </c>
      <c r="F237" s="1">
        <v>201</v>
      </c>
      <c r="G237" s="1" t="str">
        <f>VLOOKUP(F237,'Master(Ko Xóa)'!$F$2:$H$158,3,0)</f>
        <v>Out</v>
      </c>
      <c r="H237" s="6" t="s">
        <v>1107</v>
      </c>
      <c r="I237" s="6" t="s">
        <v>1111</v>
      </c>
    </row>
    <row r="238" spans="1:9">
      <c r="A238" s="4">
        <v>1</v>
      </c>
      <c r="B238" s="5" t="s">
        <v>331</v>
      </c>
      <c r="C238" s="6">
        <v>9699</v>
      </c>
      <c r="D238" s="7">
        <v>5</v>
      </c>
      <c r="E238">
        <v>2.9500000000000005E-2</v>
      </c>
      <c r="F238" s="1">
        <v>201</v>
      </c>
      <c r="G238" s="1" t="str">
        <f>VLOOKUP(F238,'Master(Ko Xóa)'!$F$2:$H$158,3,0)</f>
        <v>Out</v>
      </c>
      <c r="H238" s="6" t="s">
        <v>1107</v>
      </c>
      <c r="I238" s="6" t="s">
        <v>1111</v>
      </c>
    </row>
    <row r="239" spans="1:9">
      <c r="A239" s="4">
        <v>1</v>
      </c>
      <c r="B239" s="5" t="s">
        <v>332</v>
      </c>
      <c r="C239" s="6">
        <v>9699</v>
      </c>
      <c r="D239" s="7">
        <v>5</v>
      </c>
      <c r="E239">
        <v>7.535E-2</v>
      </c>
      <c r="F239" s="1">
        <v>201</v>
      </c>
      <c r="G239" s="1" t="str">
        <f>VLOOKUP(F239,'Master(Ko Xóa)'!$F$2:$H$158,3,0)</f>
        <v>Out</v>
      </c>
      <c r="H239" s="6" t="s">
        <v>1107</v>
      </c>
      <c r="I239" s="6" t="s">
        <v>1111</v>
      </c>
    </row>
    <row r="240" spans="1:9">
      <c r="A240" s="4">
        <v>1</v>
      </c>
      <c r="B240" s="5" t="s">
        <v>333</v>
      </c>
      <c r="C240" s="6">
        <v>9699</v>
      </c>
      <c r="D240" s="7">
        <v>5</v>
      </c>
      <c r="E240">
        <v>0.20105000000000001</v>
      </c>
      <c r="F240" s="1">
        <v>201</v>
      </c>
      <c r="G240" s="1" t="str">
        <f>VLOOKUP(F240,'Master(Ko Xóa)'!$F$2:$H$158,3,0)</f>
        <v>Out</v>
      </c>
      <c r="H240" s="6" t="s">
        <v>1107</v>
      </c>
      <c r="I240" s="6" t="s">
        <v>1111</v>
      </c>
    </row>
    <row r="241" spans="1:9">
      <c r="A241" s="4">
        <v>1</v>
      </c>
      <c r="B241" s="5" t="s">
        <v>334</v>
      </c>
      <c r="C241" s="6">
        <v>9699</v>
      </c>
      <c r="D241" s="7">
        <v>5</v>
      </c>
      <c r="E241">
        <v>0.17250000000000001</v>
      </c>
      <c r="F241" s="1">
        <v>201</v>
      </c>
      <c r="G241" s="1" t="str">
        <f>VLOOKUP(F241,'Master(Ko Xóa)'!$F$2:$H$158,3,0)</f>
        <v>Out</v>
      </c>
      <c r="H241" s="6" t="s">
        <v>1107</v>
      </c>
      <c r="I241" s="6" t="s">
        <v>1111</v>
      </c>
    </row>
    <row r="242" spans="1:9">
      <c r="A242" s="4">
        <v>1</v>
      </c>
      <c r="B242" s="5" t="s">
        <v>335</v>
      </c>
      <c r="C242" s="6">
        <v>9699</v>
      </c>
      <c r="D242" s="7">
        <v>10</v>
      </c>
      <c r="E242">
        <v>0.23100000000000004</v>
      </c>
      <c r="F242" s="1">
        <v>201</v>
      </c>
      <c r="G242" s="1" t="str">
        <f>VLOOKUP(F242,'Master(Ko Xóa)'!$F$2:$H$158,3,0)</f>
        <v>Out</v>
      </c>
      <c r="H242" s="6" t="s">
        <v>1107</v>
      </c>
      <c r="I242" s="6" t="s">
        <v>1111</v>
      </c>
    </row>
    <row r="243" spans="1:9">
      <c r="A243" s="4">
        <v>1</v>
      </c>
      <c r="B243" s="5" t="s">
        <v>336</v>
      </c>
      <c r="C243" s="6">
        <v>9699</v>
      </c>
      <c r="D243" s="7">
        <v>5</v>
      </c>
      <c r="E243">
        <v>2.9649999999999996E-2</v>
      </c>
      <c r="F243" s="1">
        <v>201</v>
      </c>
      <c r="G243" s="1" t="str">
        <f>VLOOKUP(F243,'Master(Ko Xóa)'!$F$2:$H$158,3,0)</f>
        <v>Out</v>
      </c>
      <c r="H243" s="6" t="s">
        <v>1107</v>
      </c>
      <c r="I243" s="6" t="s">
        <v>1111</v>
      </c>
    </row>
    <row r="244" spans="1:9">
      <c r="A244" s="4">
        <v>1</v>
      </c>
      <c r="B244" s="5" t="s">
        <v>337</v>
      </c>
      <c r="C244" s="6">
        <v>9699</v>
      </c>
      <c r="D244" s="7">
        <v>10</v>
      </c>
      <c r="E244">
        <v>0.1114</v>
      </c>
      <c r="F244" s="1">
        <v>201</v>
      </c>
      <c r="G244" s="1" t="str">
        <f>VLOOKUP(F244,'Master(Ko Xóa)'!$F$2:$H$158,3,0)</f>
        <v>Out</v>
      </c>
      <c r="H244" s="6" t="s">
        <v>1107</v>
      </c>
      <c r="I244" s="6" t="s">
        <v>1111</v>
      </c>
    </row>
    <row r="245" spans="1:9">
      <c r="A245" s="4">
        <v>1</v>
      </c>
      <c r="B245" s="5" t="s">
        <v>338</v>
      </c>
      <c r="C245" s="6">
        <v>9699</v>
      </c>
      <c r="D245" s="7">
        <v>5</v>
      </c>
      <c r="E245">
        <v>0.2707</v>
      </c>
      <c r="F245" s="1">
        <v>201</v>
      </c>
      <c r="G245" s="1" t="str">
        <f>VLOOKUP(F245,'Master(Ko Xóa)'!$F$2:$H$158,3,0)</f>
        <v>Out</v>
      </c>
      <c r="H245" s="6" t="s">
        <v>1107</v>
      </c>
      <c r="I245" s="6" t="s">
        <v>1111</v>
      </c>
    </row>
    <row r="246" spans="1:9">
      <c r="A246" s="4">
        <v>1</v>
      </c>
      <c r="B246" s="5" t="s">
        <v>339</v>
      </c>
      <c r="C246" s="6">
        <v>9699</v>
      </c>
      <c r="D246" s="7">
        <v>5</v>
      </c>
      <c r="E246">
        <v>0.33399999999999996</v>
      </c>
      <c r="F246" s="1">
        <v>201</v>
      </c>
      <c r="G246" s="1" t="str">
        <f>VLOOKUP(F246,'Master(Ko Xóa)'!$F$2:$H$158,3,0)</f>
        <v>Out</v>
      </c>
      <c r="H246" s="6" t="s">
        <v>1107</v>
      </c>
      <c r="I246" s="6" t="s">
        <v>1111</v>
      </c>
    </row>
    <row r="247" spans="1:9">
      <c r="A247" s="4">
        <v>1</v>
      </c>
      <c r="B247" s="5" t="s">
        <v>340</v>
      </c>
      <c r="C247" s="6">
        <v>9699</v>
      </c>
      <c r="D247" s="7">
        <v>2</v>
      </c>
      <c r="E247">
        <v>8.3019999999999997E-2</v>
      </c>
      <c r="F247" s="1">
        <v>201</v>
      </c>
      <c r="G247" s="1" t="str">
        <f>VLOOKUP(F247,'Master(Ko Xóa)'!$F$2:$H$158,3,0)</f>
        <v>Out</v>
      </c>
      <c r="H247" s="6" t="s">
        <v>1107</v>
      </c>
      <c r="I247" s="6" t="s">
        <v>1111</v>
      </c>
    </row>
    <row r="248" spans="1:9">
      <c r="A248" s="4">
        <v>1</v>
      </c>
      <c r="B248" s="5" t="s">
        <v>341</v>
      </c>
      <c r="C248" s="6">
        <v>9699</v>
      </c>
      <c r="D248" s="7">
        <v>5</v>
      </c>
      <c r="E248">
        <v>0.154</v>
      </c>
      <c r="F248" s="1">
        <v>201</v>
      </c>
      <c r="G248" s="1" t="str">
        <f>VLOOKUP(F248,'Master(Ko Xóa)'!$F$2:$H$158,3,0)</f>
        <v>Out</v>
      </c>
      <c r="H248" s="6" t="s">
        <v>1107</v>
      </c>
      <c r="I248" s="6" t="s">
        <v>1111</v>
      </c>
    </row>
    <row r="249" spans="1:9">
      <c r="A249" s="4">
        <v>1</v>
      </c>
      <c r="B249" s="5" t="s">
        <v>342</v>
      </c>
      <c r="C249" s="6">
        <v>9699</v>
      </c>
      <c r="D249" s="7">
        <v>1</v>
      </c>
      <c r="E249">
        <v>0.10267</v>
      </c>
      <c r="F249" s="1">
        <v>201</v>
      </c>
      <c r="G249" s="1" t="str">
        <f>VLOOKUP(F249,'Master(Ko Xóa)'!$F$2:$H$158,3,0)</f>
        <v>Out</v>
      </c>
      <c r="H249" s="6" t="s">
        <v>1107</v>
      </c>
      <c r="I249" s="6" t="s">
        <v>1111</v>
      </c>
    </row>
    <row r="250" spans="1:9">
      <c r="A250" s="4">
        <v>1</v>
      </c>
      <c r="B250" s="5" t="s">
        <v>343</v>
      </c>
      <c r="C250" s="6">
        <v>9699</v>
      </c>
      <c r="D250" s="7">
        <v>2</v>
      </c>
      <c r="E250">
        <v>0.14621999999999999</v>
      </c>
      <c r="F250" s="1">
        <v>201</v>
      </c>
      <c r="G250" s="1" t="str">
        <f>VLOOKUP(F250,'Master(Ko Xóa)'!$F$2:$H$158,3,0)</f>
        <v>Out</v>
      </c>
      <c r="H250" s="6" t="s">
        <v>1107</v>
      </c>
      <c r="I250" s="6" t="s">
        <v>1111</v>
      </c>
    </row>
    <row r="251" spans="1:9">
      <c r="A251" s="4">
        <v>1</v>
      </c>
      <c r="B251" s="5" t="s">
        <v>344</v>
      </c>
      <c r="C251" s="6">
        <v>9699</v>
      </c>
      <c r="D251" s="7">
        <v>2</v>
      </c>
      <c r="E251">
        <v>0.39760000000000001</v>
      </c>
      <c r="F251" s="1">
        <v>201</v>
      </c>
      <c r="G251" s="1" t="str">
        <f>VLOOKUP(F251,'Master(Ko Xóa)'!$F$2:$H$158,3,0)</f>
        <v>Out</v>
      </c>
      <c r="H251" s="6" t="s">
        <v>1107</v>
      </c>
      <c r="I251" s="6" t="s">
        <v>1111</v>
      </c>
    </row>
    <row r="252" spans="1:9">
      <c r="A252" s="4">
        <v>1</v>
      </c>
      <c r="B252" s="5" t="s">
        <v>345</v>
      </c>
      <c r="C252" s="6">
        <v>9699</v>
      </c>
      <c r="D252" s="7">
        <v>5</v>
      </c>
      <c r="E252">
        <v>1.8150500000000001</v>
      </c>
      <c r="F252" s="1">
        <v>201</v>
      </c>
      <c r="G252" s="1" t="str">
        <f>VLOOKUP(F252,'Master(Ko Xóa)'!$F$2:$H$158,3,0)</f>
        <v>Out</v>
      </c>
      <c r="H252" s="6" t="s">
        <v>1107</v>
      </c>
      <c r="I252" s="6" t="s">
        <v>1111</v>
      </c>
    </row>
    <row r="253" spans="1:9">
      <c r="A253" s="4">
        <v>1</v>
      </c>
      <c r="B253" s="5" t="s">
        <v>346</v>
      </c>
      <c r="C253" s="6">
        <v>9699</v>
      </c>
      <c r="D253" s="7">
        <v>1</v>
      </c>
      <c r="E253">
        <v>2.36971</v>
      </c>
      <c r="F253" s="1">
        <v>201</v>
      </c>
      <c r="G253" s="1" t="str">
        <f>VLOOKUP(F253,'Master(Ko Xóa)'!$F$2:$H$158,3,0)</f>
        <v>Out</v>
      </c>
      <c r="H253" s="6" t="s">
        <v>1107</v>
      </c>
      <c r="I253" s="6" t="s">
        <v>1111</v>
      </c>
    </row>
    <row r="254" spans="1:9">
      <c r="A254" s="4">
        <v>1</v>
      </c>
      <c r="B254" s="5" t="s">
        <v>347</v>
      </c>
      <c r="C254" s="6">
        <v>9699</v>
      </c>
      <c r="D254" s="7">
        <v>5</v>
      </c>
      <c r="E254">
        <v>2.5519999999999996</v>
      </c>
      <c r="F254" s="1">
        <v>201</v>
      </c>
      <c r="G254" s="1" t="str">
        <f>VLOOKUP(F254,'Master(Ko Xóa)'!$F$2:$H$158,3,0)</f>
        <v>Out</v>
      </c>
      <c r="H254" s="6" t="s">
        <v>1107</v>
      </c>
      <c r="I254" s="6" t="s">
        <v>1111</v>
      </c>
    </row>
    <row r="255" spans="1:9">
      <c r="A255" s="4">
        <v>1</v>
      </c>
      <c r="B255" s="5" t="s">
        <v>348</v>
      </c>
      <c r="C255" s="6">
        <v>9699</v>
      </c>
      <c r="D255" s="7">
        <v>5</v>
      </c>
      <c r="E255">
        <v>1.28335</v>
      </c>
      <c r="F255" s="1">
        <v>201</v>
      </c>
      <c r="G255" s="1" t="str">
        <f>VLOOKUP(F255,'Master(Ko Xóa)'!$F$2:$H$158,3,0)</f>
        <v>Out</v>
      </c>
      <c r="H255" s="6" t="s">
        <v>1107</v>
      </c>
      <c r="I255" s="6" t="s">
        <v>1111</v>
      </c>
    </row>
    <row r="256" spans="1:9">
      <c r="A256" s="4">
        <v>1</v>
      </c>
      <c r="B256" s="5" t="s">
        <v>349</v>
      </c>
      <c r="C256" s="6">
        <v>9699</v>
      </c>
      <c r="D256" s="7">
        <v>5</v>
      </c>
      <c r="E256">
        <v>0.31170000000000003</v>
      </c>
      <c r="F256" s="1">
        <v>201</v>
      </c>
      <c r="G256" s="1" t="str">
        <f>VLOOKUP(F256,'Master(Ko Xóa)'!$F$2:$H$158,3,0)</f>
        <v>Out</v>
      </c>
      <c r="H256" s="6" t="s">
        <v>1107</v>
      </c>
      <c r="I256" s="6" t="s">
        <v>1111</v>
      </c>
    </row>
    <row r="257" spans="1:9">
      <c r="A257" s="4">
        <v>1</v>
      </c>
      <c r="B257" s="5" t="s">
        <v>350</v>
      </c>
      <c r="C257" s="6">
        <v>9699</v>
      </c>
      <c r="D257" s="7">
        <v>5</v>
      </c>
      <c r="E257">
        <v>7.5899999999999995E-2</v>
      </c>
      <c r="F257" s="1">
        <v>201</v>
      </c>
      <c r="G257" s="1" t="str">
        <f>VLOOKUP(F257,'Master(Ko Xóa)'!$F$2:$H$158,3,0)</f>
        <v>Out</v>
      </c>
      <c r="H257" s="6" t="s">
        <v>1107</v>
      </c>
      <c r="I257" s="6" t="s">
        <v>1111</v>
      </c>
    </row>
    <row r="258" spans="1:9">
      <c r="A258" s="4">
        <v>1</v>
      </c>
      <c r="B258" s="5" t="s">
        <v>351</v>
      </c>
      <c r="C258" s="6">
        <v>9699</v>
      </c>
      <c r="D258" s="7">
        <v>2</v>
      </c>
      <c r="E258">
        <v>0.158</v>
      </c>
      <c r="F258" s="1">
        <v>201</v>
      </c>
      <c r="G258" s="1" t="str">
        <f>VLOOKUP(F258,'Master(Ko Xóa)'!$F$2:$H$158,3,0)</f>
        <v>Out</v>
      </c>
      <c r="H258" s="6" t="s">
        <v>1107</v>
      </c>
      <c r="I258" s="6" t="s">
        <v>1111</v>
      </c>
    </row>
    <row r="259" spans="1:9">
      <c r="A259" s="4">
        <v>1</v>
      </c>
      <c r="B259" s="5" t="s">
        <v>352</v>
      </c>
      <c r="C259" s="6">
        <v>9699</v>
      </c>
      <c r="D259" s="7">
        <v>2</v>
      </c>
      <c r="E259">
        <v>0.11148000000000001</v>
      </c>
      <c r="F259" s="1">
        <v>201</v>
      </c>
      <c r="G259" s="1" t="str">
        <f>VLOOKUP(F259,'Master(Ko Xóa)'!$F$2:$H$158,3,0)</f>
        <v>Out</v>
      </c>
      <c r="H259" s="6" t="s">
        <v>1107</v>
      </c>
      <c r="I259" s="6" t="s">
        <v>1111</v>
      </c>
    </row>
    <row r="260" spans="1:9">
      <c r="A260" s="4">
        <v>1</v>
      </c>
      <c r="B260" s="5" t="s">
        <v>353</v>
      </c>
      <c r="C260" s="6">
        <v>9699</v>
      </c>
      <c r="D260" s="7">
        <v>2</v>
      </c>
      <c r="E260">
        <v>0.19638</v>
      </c>
      <c r="F260" s="1">
        <v>201</v>
      </c>
      <c r="G260" s="1" t="str">
        <f>VLOOKUP(F260,'Master(Ko Xóa)'!$F$2:$H$158,3,0)</f>
        <v>Out</v>
      </c>
      <c r="H260" s="6" t="s">
        <v>1107</v>
      </c>
      <c r="I260" s="6" t="s">
        <v>1111</v>
      </c>
    </row>
    <row r="261" spans="1:9">
      <c r="A261" s="4">
        <v>1</v>
      </c>
      <c r="B261" s="5" t="s">
        <v>354</v>
      </c>
      <c r="C261" s="6">
        <v>9699</v>
      </c>
      <c r="D261" s="7">
        <v>5</v>
      </c>
      <c r="E261">
        <v>5.3324999999999996</v>
      </c>
      <c r="F261" s="1">
        <v>201</v>
      </c>
      <c r="G261" s="1" t="str">
        <f>VLOOKUP(F261,'Master(Ko Xóa)'!$F$2:$H$158,3,0)</f>
        <v>Out</v>
      </c>
      <c r="H261" s="6" t="s">
        <v>1107</v>
      </c>
      <c r="I261" s="6" t="s">
        <v>1111</v>
      </c>
    </row>
    <row r="262" spans="1:9">
      <c r="A262" s="4">
        <v>1</v>
      </c>
      <c r="B262" s="5" t="s">
        <v>355</v>
      </c>
      <c r="C262" s="6">
        <v>9699</v>
      </c>
      <c r="D262" s="7">
        <v>5</v>
      </c>
      <c r="E262">
        <v>8.1799999999999998E-2</v>
      </c>
      <c r="F262" s="1">
        <v>201</v>
      </c>
      <c r="G262" s="1" t="str">
        <f>VLOOKUP(F262,'Master(Ko Xóa)'!$F$2:$H$158,3,0)</f>
        <v>Out</v>
      </c>
      <c r="H262" s="6" t="s">
        <v>1107</v>
      </c>
      <c r="I262" s="6" t="s">
        <v>1111</v>
      </c>
    </row>
    <row r="263" spans="1:9">
      <c r="A263" s="4">
        <v>1</v>
      </c>
      <c r="B263" s="5" t="s">
        <v>356</v>
      </c>
      <c r="C263" s="6">
        <v>9699</v>
      </c>
      <c r="D263" s="7">
        <v>5</v>
      </c>
      <c r="E263">
        <v>8.1799999999999998E-2</v>
      </c>
      <c r="F263" s="1">
        <v>201</v>
      </c>
      <c r="G263" s="1" t="str">
        <f>VLOOKUP(F263,'Master(Ko Xóa)'!$F$2:$H$158,3,0)</f>
        <v>Out</v>
      </c>
      <c r="H263" s="6" t="s">
        <v>1107</v>
      </c>
      <c r="I263" s="6" t="s">
        <v>1111</v>
      </c>
    </row>
    <row r="264" spans="1:9">
      <c r="A264" s="4">
        <v>1</v>
      </c>
      <c r="B264" s="5" t="s">
        <v>357</v>
      </c>
      <c r="C264" s="6">
        <v>9699</v>
      </c>
      <c r="D264" s="7">
        <v>5</v>
      </c>
      <c r="E264">
        <v>8.1799999999999998E-2</v>
      </c>
      <c r="F264" s="1">
        <v>201</v>
      </c>
      <c r="G264" s="1" t="str">
        <f>VLOOKUP(F264,'Master(Ko Xóa)'!$F$2:$H$158,3,0)</f>
        <v>Out</v>
      </c>
      <c r="H264" s="6" t="s">
        <v>1107</v>
      </c>
      <c r="I264" s="6" t="s">
        <v>1111</v>
      </c>
    </row>
    <row r="265" spans="1:9">
      <c r="A265" s="4">
        <v>1</v>
      </c>
      <c r="B265" s="5" t="s">
        <v>358</v>
      </c>
      <c r="C265" s="6">
        <v>9699</v>
      </c>
      <c r="D265" s="7">
        <v>2</v>
      </c>
      <c r="E265">
        <v>0.11700000000000001</v>
      </c>
      <c r="F265" s="1">
        <v>201</v>
      </c>
      <c r="G265" s="1" t="str">
        <f>VLOOKUP(F265,'Master(Ko Xóa)'!$F$2:$H$158,3,0)</f>
        <v>Out</v>
      </c>
      <c r="H265" s="6" t="s">
        <v>1107</v>
      </c>
      <c r="I265" s="6" t="s">
        <v>1111</v>
      </c>
    </row>
    <row r="266" spans="1:9">
      <c r="A266" s="4">
        <v>1</v>
      </c>
      <c r="B266" s="5" t="s">
        <v>359</v>
      </c>
      <c r="C266" s="6">
        <v>9699</v>
      </c>
      <c r="D266" s="7">
        <v>5</v>
      </c>
      <c r="E266">
        <v>0.15089999999999998</v>
      </c>
      <c r="F266" s="1">
        <v>201</v>
      </c>
      <c r="G266" s="1" t="str">
        <f>VLOOKUP(F266,'Master(Ko Xóa)'!$F$2:$H$158,3,0)</f>
        <v>Out</v>
      </c>
      <c r="H266" s="6" t="s">
        <v>1107</v>
      </c>
      <c r="I266" s="6" t="s">
        <v>1111</v>
      </c>
    </row>
    <row r="267" spans="1:9">
      <c r="A267" s="4">
        <v>1</v>
      </c>
      <c r="B267" s="5" t="s">
        <v>360</v>
      </c>
      <c r="C267" s="6">
        <v>9699</v>
      </c>
      <c r="D267" s="7">
        <v>2</v>
      </c>
      <c r="E267">
        <v>0.66979999999999995</v>
      </c>
      <c r="F267" s="1">
        <v>201</v>
      </c>
      <c r="G267" s="1" t="str">
        <f>VLOOKUP(F267,'Master(Ko Xóa)'!$F$2:$H$158,3,0)</f>
        <v>Out</v>
      </c>
      <c r="H267" s="6" t="s">
        <v>1107</v>
      </c>
      <c r="I267" s="6" t="s">
        <v>1111</v>
      </c>
    </row>
    <row r="268" spans="1:9">
      <c r="A268" s="4">
        <v>1</v>
      </c>
      <c r="B268" s="5" t="s">
        <v>361</v>
      </c>
      <c r="C268" s="6">
        <v>9699</v>
      </c>
      <c r="D268" s="7">
        <v>5</v>
      </c>
      <c r="E268">
        <v>2.036</v>
      </c>
      <c r="F268" s="1">
        <v>201</v>
      </c>
      <c r="G268" s="1" t="str">
        <f>VLOOKUP(F268,'Master(Ko Xóa)'!$F$2:$H$158,3,0)</f>
        <v>Out</v>
      </c>
      <c r="H268" s="6" t="s">
        <v>1107</v>
      </c>
      <c r="I268" s="6" t="s">
        <v>1111</v>
      </c>
    </row>
    <row r="269" spans="1:9">
      <c r="A269" s="4">
        <v>1</v>
      </c>
      <c r="B269" s="5" t="s">
        <v>362</v>
      </c>
      <c r="C269" s="6">
        <v>9699</v>
      </c>
      <c r="D269" s="7">
        <v>1</v>
      </c>
      <c r="E269">
        <v>0.6986</v>
      </c>
      <c r="F269" s="1">
        <v>201</v>
      </c>
      <c r="G269" s="1" t="str">
        <f>VLOOKUP(F269,'Master(Ko Xóa)'!$F$2:$H$158,3,0)</f>
        <v>Out</v>
      </c>
      <c r="H269" s="6" t="s">
        <v>1107</v>
      </c>
      <c r="I269" s="6" t="s">
        <v>1111</v>
      </c>
    </row>
    <row r="270" spans="1:9">
      <c r="A270" s="4">
        <v>1</v>
      </c>
      <c r="B270" s="5" t="s">
        <v>363</v>
      </c>
      <c r="C270" s="6">
        <v>9699</v>
      </c>
      <c r="D270" s="7">
        <v>2</v>
      </c>
      <c r="E270">
        <v>0.58667999999999998</v>
      </c>
      <c r="F270" s="1">
        <v>201</v>
      </c>
      <c r="G270" s="1" t="str">
        <f>VLOOKUP(F270,'Master(Ko Xóa)'!$F$2:$H$158,3,0)</f>
        <v>Out</v>
      </c>
      <c r="H270" s="6" t="s">
        <v>1107</v>
      </c>
      <c r="I270" s="6" t="s">
        <v>1111</v>
      </c>
    </row>
    <row r="271" spans="1:9">
      <c r="A271" s="4">
        <v>1</v>
      </c>
      <c r="B271" s="5" t="s">
        <v>364</v>
      </c>
      <c r="C271" s="6">
        <v>9699</v>
      </c>
      <c r="D271" s="7">
        <v>2</v>
      </c>
      <c r="E271">
        <v>1.1147</v>
      </c>
      <c r="F271" s="1">
        <v>201</v>
      </c>
      <c r="G271" s="1" t="str">
        <f>VLOOKUP(F271,'Master(Ko Xóa)'!$F$2:$H$158,3,0)</f>
        <v>Out</v>
      </c>
      <c r="H271" s="6" t="s">
        <v>1107</v>
      </c>
      <c r="I271" s="6" t="s">
        <v>1111</v>
      </c>
    </row>
    <row r="272" spans="1:9">
      <c r="A272" s="4">
        <v>1</v>
      </c>
      <c r="B272" s="5" t="s">
        <v>365</v>
      </c>
      <c r="C272" s="6">
        <v>9699</v>
      </c>
      <c r="D272" s="7">
        <v>2</v>
      </c>
      <c r="E272">
        <v>1.2760199999999999</v>
      </c>
      <c r="F272" s="1">
        <v>201</v>
      </c>
      <c r="G272" s="1" t="str">
        <f>VLOOKUP(F272,'Master(Ko Xóa)'!$F$2:$H$158,3,0)</f>
        <v>Out</v>
      </c>
      <c r="H272" s="6" t="s">
        <v>1107</v>
      </c>
      <c r="I272" s="6" t="s">
        <v>1111</v>
      </c>
    </row>
    <row r="273" spans="1:9">
      <c r="A273" s="4">
        <v>1</v>
      </c>
      <c r="B273" s="5" t="s">
        <v>366</v>
      </c>
      <c r="C273" s="6">
        <v>9699</v>
      </c>
      <c r="D273" s="7">
        <v>2</v>
      </c>
      <c r="E273">
        <v>4.2423000000000002</v>
      </c>
      <c r="F273" s="1">
        <v>201</v>
      </c>
      <c r="G273" s="1" t="str">
        <f>VLOOKUP(F273,'Master(Ko Xóa)'!$F$2:$H$158,3,0)</f>
        <v>Out</v>
      </c>
      <c r="H273" s="6" t="s">
        <v>1107</v>
      </c>
      <c r="I273" s="6" t="s">
        <v>1111</v>
      </c>
    </row>
    <row r="274" spans="1:9">
      <c r="A274" s="4">
        <v>1</v>
      </c>
      <c r="B274" s="5" t="s">
        <v>367</v>
      </c>
      <c r="C274" s="6">
        <v>9699</v>
      </c>
      <c r="D274" s="7">
        <v>1</v>
      </c>
      <c r="E274">
        <v>1.95072</v>
      </c>
      <c r="F274" s="1">
        <v>201</v>
      </c>
      <c r="G274" s="1" t="str">
        <f>VLOOKUP(F274,'Master(Ko Xóa)'!$F$2:$H$158,3,0)</f>
        <v>Out</v>
      </c>
      <c r="H274" s="6" t="s">
        <v>1107</v>
      </c>
      <c r="I274" s="6" t="s">
        <v>1111</v>
      </c>
    </row>
    <row r="275" spans="1:9">
      <c r="A275" s="4">
        <v>1</v>
      </c>
      <c r="B275" s="5" t="s">
        <v>368</v>
      </c>
      <c r="C275" s="6">
        <v>9699</v>
      </c>
      <c r="D275" s="7">
        <v>5</v>
      </c>
      <c r="E275">
        <v>0.54500000000000004</v>
      </c>
      <c r="F275" s="1">
        <v>201</v>
      </c>
      <c r="G275" s="1" t="str">
        <f>VLOOKUP(F275,'Master(Ko Xóa)'!$F$2:$H$158,3,0)</f>
        <v>Out</v>
      </c>
      <c r="H275" s="6" t="s">
        <v>1107</v>
      </c>
      <c r="I275" s="6" t="s">
        <v>1111</v>
      </c>
    </row>
    <row r="276" spans="1:9">
      <c r="A276" s="4">
        <v>1</v>
      </c>
      <c r="B276" s="5" t="s">
        <v>369</v>
      </c>
      <c r="C276" s="6">
        <v>9699</v>
      </c>
      <c r="D276" s="7">
        <v>1</v>
      </c>
      <c r="E276">
        <v>0.55309000000000008</v>
      </c>
      <c r="F276" s="1">
        <v>201</v>
      </c>
      <c r="G276" s="1" t="str">
        <f>VLOOKUP(F276,'Master(Ko Xóa)'!$F$2:$H$158,3,0)</f>
        <v>Out</v>
      </c>
      <c r="H276" s="6" t="s">
        <v>1107</v>
      </c>
      <c r="I276" s="6" t="s">
        <v>1111</v>
      </c>
    </row>
    <row r="277" spans="1:9">
      <c r="A277" s="4">
        <v>1</v>
      </c>
      <c r="B277" s="5" t="s">
        <v>370</v>
      </c>
      <c r="C277" s="6">
        <v>9699</v>
      </c>
      <c r="D277" s="7">
        <v>1</v>
      </c>
      <c r="E277">
        <v>1.8070999999999999</v>
      </c>
      <c r="F277" s="1">
        <v>201</v>
      </c>
      <c r="G277" s="1" t="str">
        <f>VLOOKUP(F277,'Master(Ko Xóa)'!$F$2:$H$158,3,0)</f>
        <v>Out</v>
      </c>
      <c r="H277" s="6" t="s">
        <v>1107</v>
      </c>
      <c r="I277" s="6" t="s">
        <v>1111</v>
      </c>
    </row>
    <row r="278" spans="1:9">
      <c r="A278" s="4">
        <v>1</v>
      </c>
      <c r="B278" s="5" t="s">
        <v>371</v>
      </c>
      <c r="C278" s="6">
        <v>9699</v>
      </c>
      <c r="D278" s="7">
        <v>1</v>
      </c>
      <c r="E278">
        <v>7.0407999999999999</v>
      </c>
      <c r="F278" s="1">
        <v>201</v>
      </c>
      <c r="G278" s="1" t="str">
        <f>VLOOKUP(F278,'Master(Ko Xóa)'!$F$2:$H$158,3,0)</f>
        <v>Out</v>
      </c>
      <c r="H278" s="6" t="s">
        <v>1107</v>
      </c>
      <c r="I278" s="6" t="s">
        <v>1111</v>
      </c>
    </row>
    <row r="279" spans="1:9">
      <c r="A279" s="4">
        <v>1</v>
      </c>
      <c r="B279" s="5" t="s">
        <v>372</v>
      </c>
      <c r="C279" s="6">
        <v>9699</v>
      </c>
      <c r="D279" s="7">
        <v>1</v>
      </c>
      <c r="E279">
        <v>4.87E-2</v>
      </c>
      <c r="F279" s="1">
        <v>201</v>
      </c>
      <c r="G279" s="1" t="str">
        <f>VLOOKUP(F279,'Master(Ko Xóa)'!$F$2:$H$158,3,0)</f>
        <v>Out</v>
      </c>
      <c r="H279" s="6" t="s">
        <v>1107</v>
      </c>
      <c r="I279" s="6" t="s">
        <v>1111</v>
      </c>
    </row>
    <row r="280" spans="1:9">
      <c r="A280" s="4">
        <v>1</v>
      </c>
      <c r="B280" s="5" t="s">
        <v>373</v>
      </c>
      <c r="C280" s="6">
        <v>9699</v>
      </c>
      <c r="D280" s="7">
        <v>5</v>
      </c>
      <c r="E280">
        <v>1.2840000000000003</v>
      </c>
      <c r="F280" s="1">
        <v>201</v>
      </c>
      <c r="G280" s="1" t="str">
        <f>VLOOKUP(F280,'Master(Ko Xóa)'!$F$2:$H$158,3,0)</f>
        <v>Out</v>
      </c>
      <c r="H280" s="6" t="s">
        <v>1107</v>
      </c>
      <c r="I280" s="6" t="s">
        <v>1111</v>
      </c>
    </row>
    <row r="281" spans="1:9">
      <c r="A281" s="4">
        <v>1</v>
      </c>
      <c r="B281" s="5" t="s">
        <v>374</v>
      </c>
      <c r="C281" s="6">
        <v>9699</v>
      </c>
      <c r="D281" s="7">
        <v>1</v>
      </c>
      <c r="E281">
        <v>0.12</v>
      </c>
      <c r="F281" s="1">
        <v>201</v>
      </c>
      <c r="G281" s="1" t="str">
        <f>VLOOKUP(F281,'Master(Ko Xóa)'!$F$2:$H$158,3,0)</f>
        <v>Out</v>
      </c>
      <c r="H281" s="6" t="s">
        <v>1107</v>
      </c>
      <c r="I281" s="6" t="s">
        <v>1111</v>
      </c>
    </row>
    <row r="282" spans="1:9">
      <c r="A282" s="4">
        <v>1</v>
      </c>
      <c r="B282" s="5" t="s">
        <v>375</v>
      </c>
      <c r="C282" s="6">
        <v>9699</v>
      </c>
      <c r="D282" s="7">
        <v>1</v>
      </c>
      <c r="E282">
        <v>0.28499999999999998</v>
      </c>
      <c r="F282" s="1">
        <v>201</v>
      </c>
      <c r="G282" s="1" t="str">
        <f>VLOOKUP(F282,'Master(Ko Xóa)'!$F$2:$H$158,3,0)</f>
        <v>Out</v>
      </c>
      <c r="H282" s="6" t="s">
        <v>1107</v>
      </c>
      <c r="I282" s="6" t="s">
        <v>1111</v>
      </c>
    </row>
    <row r="283" spans="1:9">
      <c r="A283" s="4">
        <v>1</v>
      </c>
      <c r="B283" s="5" t="s">
        <v>376</v>
      </c>
      <c r="C283" s="6">
        <v>9699</v>
      </c>
      <c r="D283" s="7">
        <v>1</v>
      </c>
      <c r="E283">
        <v>0.15</v>
      </c>
      <c r="F283" s="1">
        <v>201</v>
      </c>
      <c r="G283" s="1" t="str">
        <f>VLOOKUP(F283,'Master(Ko Xóa)'!$F$2:$H$158,3,0)</f>
        <v>Out</v>
      </c>
      <c r="H283" s="6" t="s">
        <v>1107</v>
      </c>
      <c r="I283" s="6" t="s">
        <v>1111</v>
      </c>
    </row>
    <row r="284" spans="1:9">
      <c r="A284" s="4">
        <v>1</v>
      </c>
      <c r="B284" s="5" t="s">
        <v>377</v>
      </c>
      <c r="C284" s="6">
        <v>9699</v>
      </c>
      <c r="D284" s="7">
        <v>1</v>
      </c>
      <c r="E284">
        <v>5.5E-2</v>
      </c>
      <c r="F284" s="1">
        <v>201</v>
      </c>
      <c r="G284" s="1" t="str">
        <f>VLOOKUP(F284,'Master(Ko Xóa)'!$F$2:$H$158,3,0)</f>
        <v>Out</v>
      </c>
      <c r="H284" s="6" t="s">
        <v>1107</v>
      </c>
      <c r="I284" s="6" t="s">
        <v>1111</v>
      </c>
    </row>
    <row r="285" spans="1:9">
      <c r="A285" s="4">
        <v>1</v>
      </c>
      <c r="B285" s="5" t="s">
        <v>378</v>
      </c>
      <c r="C285" s="6">
        <v>9699</v>
      </c>
      <c r="D285" s="7">
        <v>1</v>
      </c>
      <c r="E285">
        <v>2.4899999999999999E-2</v>
      </c>
      <c r="F285" s="1">
        <v>201</v>
      </c>
      <c r="G285" s="1" t="str">
        <f>VLOOKUP(F285,'Master(Ko Xóa)'!$F$2:$H$158,3,0)</f>
        <v>Out</v>
      </c>
      <c r="H285" s="6" t="s">
        <v>1107</v>
      </c>
      <c r="I285" s="6" t="s">
        <v>1111</v>
      </c>
    </row>
    <row r="286" spans="1:9">
      <c r="A286" s="4">
        <v>1</v>
      </c>
      <c r="B286" s="5" t="s">
        <v>379</v>
      </c>
      <c r="C286" s="6">
        <v>9699</v>
      </c>
      <c r="D286" s="7">
        <v>20</v>
      </c>
      <c r="E286">
        <v>5.4000000000000003E-3</v>
      </c>
      <c r="F286" s="1">
        <v>201</v>
      </c>
      <c r="G286" s="1" t="str">
        <f>VLOOKUP(F286,'Master(Ko Xóa)'!$F$2:$H$158,3,0)</f>
        <v>Out</v>
      </c>
      <c r="H286" s="6" t="s">
        <v>1107</v>
      </c>
      <c r="I286" s="6" t="s">
        <v>1111</v>
      </c>
    </row>
    <row r="287" spans="1:9">
      <c r="A287" s="4">
        <v>1</v>
      </c>
      <c r="B287" s="5" t="s">
        <v>380</v>
      </c>
      <c r="C287" s="6">
        <v>9699</v>
      </c>
      <c r="D287" s="7">
        <v>20</v>
      </c>
      <c r="E287">
        <v>5.4000000000000003E-3</v>
      </c>
      <c r="F287" s="1">
        <v>201</v>
      </c>
      <c r="G287" s="1" t="str">
        <f>VLOOKUP(F287,'Master(Ko Xóa)'!$F$2:$H$158,3,0)</f>
        <v>Out</v>
      </c>
      <c r="H287" s="6" t="s">
        <v>1107</v>
      </c>
      <c r="I287" s="6" t="s">
        <v>1111</v>
      </c>
    </row>
    <row r="288" spans="1:9">
      <c r="A288" s="4">
        <v>1</v>
      </c>
      <c r="B288" s="5" t="s">
        <v>381</v>
      </c>
      <c r="C288" s="6">
        <v>9699</v>
      </c>
      <c r="D288" s="7">
        <v>20</v>
      </c>
      <c r="E288">
        <v>5.4000000000000003E-3</v>
      </c>
      <c r="F288" s="1">
        <v>201</v>
      </c>
      <c r="G288" s="1" t="str">
        <f>VLOOKUP(F288,'Master(Ko Xóa)'!$F$2:$H$158,3,0)</f>
        <v>Out</v>
      </c>
      <c r="H288" s="6" t="s">
        <v>1107</v>
      </c>
      <c r="I288" s="6" t="s">
        <v>1111</v>
      </c>
    </row>
    <row r="289" spans="1:9">
      <c r="A289" s="4">
        <v>1</v>
      </c>
      <c r="B289" s="5" t="s">
        <v>382</v>
      </c>
      <c r="C289" s="6">
        <v>9699</v>
      </c>
      <c r="D289" s="7">
        <v>20</v>
      </c>
      <c r="E289">
        <v>5.2000000000000006E-3</v>
      </c>
      <c r="F289" s="1">
        <v>201</v>
      </c>
      <c r="G289" s="1" t="str">
        <f>VLOOKUP(F289,'Master(Ko Xóa)'!$F$2:$H$158,3,0)</f>
        <v>Out</v>
      </c>
      <c r="H289" s="6" t="s">
        <v>1107</v>
      </c>
      <c r="I289" s="6" t="s">
        <v>1111</v>
      </c>
    </row>
    <row r="290" spans="1:9">
      <c r="A290" s="4">
        <v>1</v>
      </c>
      <c r="B290" s="5" t="s">
        <v>383</v>
      </c>
      <c r="C290" s="6">
        <v>9699</v>
      </c>
      <c r="D290" s="7">
        <v>20</v>
      </c>
      <c r="E290">
        <v>8.0000000000000002E-3</v>
      </c>
      <c r="F290" s="1">
        <v>201</v>
      </c>
      <c r="G290" s="1" t="str">
        <f>VLOOKUP(F290,'Master(Ko Xóa)'!$F$2:$H$158,3,0)</f>
        <v>Out</v>
      </c>
      <c r="H290" s="6" t="s">
        <v>1107</v>
      </c>
      <c r="I290" s="6" t="s">
        <v>1111</v>
      </c>
    </row>
    <row r="291" spans="1:9">
      <c r="A291" s="4">
        <v>1</v>
      </c>
      <c r="B291" s="5" t="s">
        <v>384</v>
      </c>
      <c r="C291" s="6">
        <v>9699</v>
      </c>
      <c r="D291" s="7">
        <v>20</v>
      </c>
      <c r="E291">
        <v>8.0000000000000002E-3</v>
      </c>
      <c r="F291" s="1">
        <v>201</v>
      </c>
      <c r="G291" s="1" t="str">
        <f>VLOOKUP(F291,'Master(Ko Xóa)'!$F$2:$H$158,3,0)</f>
        <v>Out</v>
      </c>
      <c r="H291" s="6" t="s">
        <v>1107</v>
      </c>
      <c r="I291" s="6" t="s">
        <v>1111</v>
      </c>
    </row>
    <row r="292" spans="1:9">
      <c r="A292" s="4">
        <v>1</v>
      </c>
      <c r="B292" s="5" t="s">
        <v>385</v>
      </c>
      <c r="C292" s="6">
        <v>9699</v>
      </c>
      <c r="D292" s="7">
        <v>20</v>
      </c>
      <c r="E292">
        <v>8.0000000000000002E-3</v>
      </c>
      <c r="F292" s="1">
        <v>201</v>
      </c>
      <c r="G292" s="1" t="str">
        <f>VLOOKUP(F292,'Master(Ko Xóa)'!$F$2:$H$158,3,0)</f>
        <v>Out</v>
      </c>
      <c r="H292" s="6" t="s">
        <v>1107</v>
      </c>
      <c r="I292" s="6" t="s">
        <v>1111</v>
      </c>
    </row>
    <row r="293" spans="1:9">
      <c r="A293" s="4">
        <v>1</v>
      </c>
      <c r="B293" s="5" t="s">
        <v>386</v>
      </c>
      <c r="C293" s="6">
        <v>9699</v>
      </c>
      <c r="D293" s="7">
        <v>20</v>
      </c>
      <c r="E293">
        <v>8.0000000000000002E-3</v>
      </c>
      <c r="F293" s="1">
        <v>201</v>
      </c>
      <c r="G293" s="1" t="str">
        <f>VLOOKUP(F293,'Master(Ko Xóa)'!$F$2:$H$158,3,0)</f>
        <v>Out</v>
      </c>
      <c r="H293" s="6" t="s">
        <v>1107</v>
      </c>
      <c r="I293" s="6" t="s">
        <v>1111</v>
      </c>
    </row>
    <row r="294" spans="1:9">
      <c r="A294" s="4">
        <v>1</v>
      </c>
      <c r="B294" s="5" t="s">
        <v>387</v>
      </c>
      <c r="C294" s="6">
        <v>9699</v>
      </c>
      <c r="D294" s="7">
        <v>20</v>
      </c>
      <c r="E294">
        <v>1.4E-2</v>
      </c>
      <c r="F294" s="1">
        <v>201</v>
      </c>
      <c r="G294" s="1" t="str">
        <f>VLOOKUP(F294,'Master(Ko Xóa)'!$F$2:$H$158,3,0)</f>
        <v>Out</v>
      </c>
      <c r="H294" s="6" t="s">
        <v>1107</v>
      </c>
      <c r="I294" s="6" t="s">
        <v>1111</v>
      </c>
    </row>
    <row r="295" spans="1:9">
      <c r="A295" s="4">
        <v>1</v>
      </c>
      <c r="B295" s="5" t="s">
        <v>388</v>
      </c>
      <c r="C295" s="6">
        <v>9699</v>
      </c>
      <c r="D295" s="7">
        <v>10</v>
      </c>
      <c r="E295">
        <v>7.0000000000000001E-3</v>
      </c>
      <c r="F295" s="1">
        <v>201</v>
      </c>
      <c r="G295" s="1" t="str">
        <f>VLOOKUP(F295,'Master(Ko Xóa)'!$F$2:$H$158,3,0)</f>
        <v>Out</v>
      </c>
      <c r="H295" s="6" t="s">
        <v>1107</v>
      </c>
      <c r="I295" s="6" t="s">
        <v>1111</v>
      </c>
    </row>
    <row r="296" spans="1:9">
      <c r="A296" s="4">
        <v>1</v>
      </c>
      <c r="B296" s="5" t="s">
        <v>389</v>
      </c>
      <c r="C296" s="6">
        <v>9699</v>
      </c>
      <c r="D296" s="7">
        <v>10</v>
      </c>
      <c r="E296">
        <v>7.0000000000000001E-3</v>
      </c>
      <c r="F296" s="1">
        <v>201</v>
      </c>
      <c r="G296" s="1" t="str">
        <f>VLOOKUP(F296,'Master(Ko Xóa)'!$F$2:$H$158,3,0)</f>
        <v>Out</v>
      </c>
      <c r="H296" s="6" t="s">
        <v>1107</v>
      </c>
      <c r="I296" s="6" t="s">
        <v>1111</v>
      </c>
    </row>
    <row r="297" spans="1:9">
      <c r="A297" s="4">
        <v>1</v>
      </c>
      <c r="B297" s="5" t="s">
        <v>390</v>
      </c>
      <c r="C297" s="6">
        <v>9699</v>
      </c>
      <c r="D297" s="7">
        <v>10</v>
      </c>
      <c r="E297">
        <v>1.1799999999999998E-2</v>
      </c>
      <c r="F297" s="1">
        <v>201</v>
      </c>
      <c r="G297" s="1" t="str">
        <f>VLOOKUP(F297,'Master(Ko Xóa)'!$F$2:$H$158,3,0)</f>
        <v>Out</v>
      </c>
      <c r="H297" s="6" t="s">
        <v>1107</v>
      </c>
      <c r="I297" s="6" t="s">
        <v>1111</v>
      </c>
    </row>
    <row r="298" spans="1:9">
      <c r="A298" s="4">
        <v>1</v>
      </c>
      <c r="B298" s="5" t="s">
        <v>391</v>
      </c>
      <c r="C298" s="6">
        <v>9699</v>
      </c>
      <c r="D298" s="7">
        <v>10</v>
      </c>
      <c r="E298">
        <v>1.1299999999999999E-2</v>
      </c>
      <c r="F298" s="1">
        <v>201</v>
      </c>
      <c r="G298" s="1" t="str">
        <f>VLOOKUP(F298,'Master(Ko Xóa)'!$F$2:$H$158,3,0)</f>
        <v>Out</v>
      </c>
      <c r="H298" s="6" t="s">
        <v>1107</v>
      </c>
      <c r="I298" s="6" t="s">
        <v>1111</v>
      </c>
    </row>
    <row r="299" spans="1:9">
      <c r="A299" s="4">
        <v>1</v>
      </c>
      <c r="B299" s="5" t="s">
        <v>392</v>
      </c>
      <c r="C299" s="6">
        <v>9699</v>
      </c>
      <c r="D299" s="7">
        <v>20</v>
      </c>
      <c r="E299">
        <v>5.9999999999999993E-3</v>
      </c>
      <c r="F299" s="1">
        <v>201</v>
      </c>
      <c r="G299" s="1" t="str">
        <f>VLOOKUP(F299,'Master(Ko Xóa)'!$F$2:$H$158,3,0)</f>
        <v>Out</v>
      </c>
      <c r="H299" s="6" t="s">
        <v>1107</v>
      </c>
      <c r="I299" s="6" t="s">
        <v>1111</v>
      </c>
    </row>
    <row r="300" spans="1:9">
      <c r="A300" s="4">
        <v>1</v>
      </c>
      <c r="B300" s="5" t="s">
        <v>393</v>
      </c>
      <c r="C300" s="6">
        <v>9699</v>
      </c>
      <c r="D300" s="7">
        <v>20</v>
      </c>
      <c r="E300">
        <v>5.9999999999999993E-3</v>
      </c>
      <c r="F300" s="1">
        <v>201</v>
      </c>
      <c r="G300" s="1" t="str">
        <f>VLOOKUP(F300,'Master(Ko Xóa)'!$F$2:$H$158,3,0)</f>
        <v>Out</v>
      </c>
      <c r="H300" s="6" t="s">
        <v>1107</v>
      </c>
      <c r="I300" s="6" t="s">
        <v>1111</v>
      </c>
    </row>
    <row r="301" spans="1:9">
      <c r="A301" s="4">
        <v>1</v>
      </c>
      <c r="B301" s="5" t="s">
        <v>394</v>
      </c>
      <c r="C301" s="6">
        <v>9699</v>
      </c>
      <c r="D301" s="7">
        <v>20</v>
      </c>
      <c r="E301">
        <v>1.34E-2</v>
      </c>
      <c r="F301" s="1">
        <v>201</v>
      </c>
      <c r="G301" s="1" t="str">
        <f>VLOOKUP(F301,'Master(Ko Xóa)'!$F$2:$H$158,3,0)</f>
        <v>Out</v>
      </c>
      <c r="H301" s="6" t="s">
        <v>1107</v>
      </c>
      <c r="I301" s="6" t="s">
        <v>1111</v>
      </c>
    </row>
    <row r="302" spans="1:9">
      <c r="A302" s="4">
        <v>1</v>
      </c>
      <c r="B302" s="5" t="s">
        <v>395</v>
      </c>
      <c r="C302" s="6">
        <v>9699</v>
      </c>
      <c r="D302" s="7">
        <v>20</v>
      </c>
      <c r="E302">
        <v>5.9999999999999993E-3</v>
      </c>
      <c r="F302" s="1">
        <v>201</v>
      </c>
      <c r="G302" s="1" t="str">
        <f>VLOOKUP(F302,'Master(Ko Xóa)'!$F$2:$H$158,3,0)</f>
        <v>Out</v>
      </c>
      <c r="H302" s="6" t="s">
        <v>1107</v>
      </c>
      <c r="I302" s="6" t="s">
        <v>1111</v>
      </c>
    </row>
    <row r="303" spans="1:9">
      <c r="A303" s="4">
        <v>1</v>
      </c>
      <c r="B303" s="5" t="s">
        <v>396</v>
      </c>
      <c r="C303" s="6">
        <v>9699</v>
      </c>
      <c r="D303" s="7">
        <v>20</v>
      </c>
      <c r="E303">
        <v>5.9999999999999993E-3</v>
      </c>
      <c r="F303" s="1">
        <v>201</v>
      </c>
      <c r="G303" s="1" t="str">
        <f>VLOOKUP(F303,'Master(Ko Xóa)'!$F$2:$H$158,3,0)</f>
        <v>Out</v>
      </c>
      <c r="H303" s="6" t="s">
        <v>1107</v>
      </c>
      <c r="I303" s="6" t="s">
        <v>1111</v>
      </c>
    </row>
    <row r="304" spans="1:9">
      <c r="A304" s="4">
        <v>1</v>
      </c>
      <c r="B304" s="5" t="s">
        <v>397</v>
      </c>
      <c r="C304" s="6">
        <v>9699</v>
      </c>
      <c r="D304" s="7">
        <v>20</v>
      </c>
      <c r="E304">
        <v>5.9999999999999993E-3</v>
      </c>
      <c r="F304" s="1">
        <v>201</v>
      </c>
      <c r="G304" s="1" t="str">
        <f>VLOOKUP(F304,'Master(Ko Xóa)'!$F$2:$H$158,3,0)</f>
        <v>Out</v>
      </c>
      <c r="H304" s="6" t="s">
        <v>1107</v>
      </c>
      <c r="I304" s="6" t="s">
        <v>1111</v>
      </c>
    </row>
    <row r="305" spans="1:9">
      <c r="A305" s="4">
        <v>1</v>
      </c>
      <c r="B305" s="5" t="s">
        <v>398</v>
      </c>
      <c r="C305" s="6">
        <v>9699</v>
      </c>
      <c r="D305" s="7">
        <v>20</v>
      </c>
      <c r="E305">
        <v>5.9999999999999993E-3</v>
      </c>
      <c r="F305" s="1">
        <v>201</v>
      </c>
      <c r="G305" s="1" t="str">
        <f>VLOOKUP(F305,'Master(Ko Xóa)'!$F$2:$H$158,3,0)</f>
        <v>Out</v>
      </c>
      <c r="H305" s="6" t="s">
        <v>1107</v>
      </c>
      <c r="I305" s="6" t="s">
        <v>1111</v>
      </c>
    </row>
    <row r="306" spans="1:9">
      <c r="A306" s="4">
        <v>1</v>
      </c>
      <c r="B306" s="5" t="s">
        <v>399</v>
      </c>
      <c r="C306" s="6">
        <v>9699</v>
      </c>
      <c r="D306" s="7">
        <v>20</v>
      </c>
      <c r="E306">
        <v>1.34E-2</v>
      </c>
      <c r="F306" s="1">
        <v>201</v>
      </c>
      <c r="G306" s="1" t="str">
        <f>VLOOKUP(F306,'Master(Ko Xóa)'!$F$2:$H$158,3,0)</f>
        <v>Out</v>
      </c>
      <c r="H306" s="6" t="s">
        <v>1107</v>
      </c>
      <c r="I306" s="6" t="s">
        <v>1111</v>
      </c>
    </row>
    <row r="307" spans="1:9">
      <c r="A307" s="4">
        <v>1</v>
      </c>
      <c r="B307" s="5" t="s">
        <v>400</v>
      </c>
      <c r="C307" s="6">
        <v>9699</v>
      </c>
      <c r="D307" s="7">
        <v>20</v>
      </c>
      <c r="E307">
        <v>5.9999999999999993E-3</v>
      </c>
      <c r="F307" s="1">
        <v>201</v>
      </c>
      <c r="G307" s="1" t="str">
        <f>VLOOKUP(F307,'Master(Ko Xóa)'!$F$2:$H$158,3,0)</f>
        <v>Out</v>
      </c>
      <c r="H307" s="6" t="s">
        <v>1107</v>
      </c>
      <c r="I307" s="6" t="s">
        <v>1111</v>
      </c>
    </row>
    <row r="308" spans="1:9">
      <c r="A308" s="4">
        <v>1</v>
      </c>
      <c r="B308" s="5" t="s">
        <v>401</v>
      </c>
      <c r="C308" s="6">
        <v>9699</v>
      </c>
      <c r="D308" s="7">
        <v>20</v>
      </c>
      <c r="E308">
        <v>5.9999999999999993E-3</v>
      </c>
      <c r="F308" s="1">
        <v>201</v>
      </c>
      <c r="G308" s="1" t="str">
        <f>VLOOKUP(F308,'Master(Ko Xóa)'!$F$2:$H$158,3,0)</f>
        <v>Out</v>
      </c>
      <c r="H308" s="6" t="s">
        <v>1107</v>
      </c>
      <c r="I308" s="6" t="s">
        <v>1111</v>
      </c>
    </row>
    <row r="309" spans="1:9">
      <c r="A309" s="4">
        <v>1</v>
      </c>
      <c r="B309" s="5" t="s">
        <v>402</v>
      </c>
      <c r="C309" s="6">
        <v>9699</v>
      </c>
      <c r="D309" s="7">
        <v>20</v>
      </c>
      <c r="E309">
        <v>5.9999999999999993E-3</v>
      </c>
      <c r="F309" s="1">
        <v>201</v>
      </c>
      <c r="G309" s="1" t="str">
        <f>VLOOKUP(F309,'Master(Ko Xóa)'!$F$2:$H$158,3,0)</f>
        <v>Out</v>
      </c>
      <c r="H309" s="6" t="s">
        <v>1107</v>
      </c>
      <c r="I309" s="6" t="s">
        <v>1111</v>
      </c>
    </row>
    <row r="310" spans="1:9">
      <c r="A310" s="4">
        <v>1</v>
      </c>
      <c r="B310" s="5" t="s">
        <v>403</v>
      </c>
      <c r="C310" s="6">
        <v>9699</v>
      </c>
      <c r="D310" s="7">
        <v>20</v>
      </c>
      <c r="E310">
        <v>5.9999999999999993E-3</v>
      </c>
      <c r="F310" s="1">
        <v>201</v>
      </c>
      <c r="G310" s="1" t="str">
        <f>VLOOKUP(F310,'Master(Ko Xóa)'!$F$2:$H$158,3,0)</f>
        <v>Out</v>
      </c>
      <c r="H310" s="6" t="s">
        <v>1107</v>
      </c>
      <c r="I310" s="6" t="s">
        <v>1111</v>
      </c>
    </row>
    <row r="311" spans="1:9">
      <c r="A311" s="4">
        <v>1</v>
      </c>
      <c r="B311" s="5" t="s">
        <v>404</v>
      </c>
      <c r="C311" s="6">
        <v>9699</v>
      </c>
      <c r="D311" s="7">
        <v>20</v>
      </c>
      <c r="E311">
        <v>5.9999999999999993E-3</v>
      </c>
      <c r="F311" s="1">
        <v>201</v>
      </c>
      <c r="G311" s="1" t="str">
        <f>VLOOKUP(F311,'Master(Ko Xóa)'!$F$2:$H$158,3,0)</f>
        <v>Out</v>
      </c>
      <c r="H311" s="6" t="s">
        <v>1107</v>
      </c>
      <c r="I311" s="6" t="s">
        <v>1111</v>
      </c>
    </row>
    <row r="312" spans="1:9">
      <c r="A312" s="4">
        <v>1</v>
      </c>
      <c r="B312" s="5" t="s">
        <v>405</v>
      </c>
      <c r="C312" s="6">
        <v>9699</v>
      </c>
      <c r="D312" s="7">
        <v>20</v>
      </c>
      <c r="E312">
        <v>5.9999999999999993E-3</v>
      </c>
      <c r="F312" s="1">
        <v>201</v>
      </c>
      <c r="G312" s="1" t="str">
        <f>VLOOKUP(F312,'Master(Ko Xóa)'!$F$2:$H$158,3,0)</f>
        <v>Out</v>
      </c>
      <c r="H312" s="6" t="s">
        <v>1107</v>
      </c>
      <c r="I312" s="6" t="s">
        <v>1111</v>
      </c>
    </row>
    <row r="313" spans="1:9">
      <c r="A313" s="4">
        <v>1</v>
      </c>
      <c r="B313" s="5" t="s">
        <v>406</v>
      </c>
      <c r="C313" s="6">
        <v>9699</v>
      </c>
      <c r="D313" s="7">
        <v>20</v>
      </c>
      <c r="E313">
        <v>5.9999999999999993E-3</v>
      </c>
      <c r="F313" s="1">
        <v>201</v>
      </c>
      <c r="G313" s="1" t="str">
        <f>VLOOKUP(F313,'Master(Ko Xóa)'!$F$2:$H$158,3,0)</f>
        <v>Out</v>
      </c>
      <c r="H313" s="6" t="s">
        <v>1107</v>
      </c>
      <c r="I313" s="6" t="s">
        <v>1111</v>
      </c>
    </row>
    <row r="314" spans="1:9">
      <c r="A314" s="4">
        <v>1</v>
      </c>
      <c r="B314" s="5" t="s">
        <v>407</v>
      </c>
      <c r="C314" s="6">
        <v>9699</v>
      </c>
      <c r="D314" s="7">
        <v>20</v>
      </c>
      <c r="E314">
        <v>5.9999999999999993E-3</v>
      </c>
      <c r="F314" s="1">
        <v>201</v>
      </c>
      <c r="G314" s="1" t="str">
        <f>VLOOKUP(F314,'Master(Ko Xóa)'!$F$2:$H$158,3,0)</f>
        <v>Out</v>
      </c>
      <c r="H314" s="6" t="s">
        <v>1107</v>
      </c>
      <c r="I314" s="6" t="s">
        <v>1111</v>
      </c>
    </row>
    <row r="315" spans="1:9">
      <c r="A315" s="4">
        <v>1</v>
      </c>
      <c r="B315" s="5" t="s">
        <v>408</v>
      </c>
      <c r="C315" s="6">
        <v>9699</v>
      </c>
      <c r="D315" s="7">
        <v>20</v>
      </c>
      <c r="E315">
        <v>5.9999999999999993E-3</v>
      </c>
      <c r="F315" s="1">
        <v>201</v>
      </c>
      <c r="G315" s="1" t="str">
        <f>VLOOKUP(F315,'Master(Ko Xóa)'!$F$2:$H$158,3,0)</f>
        <v>Out</v>
      </c>
      <c r="H315" s="6" t="s">
        <v>1107</v>
      </c>
      <c r="I315" s="6" t="s">
        <v>1111</v>
      </c>
    </row>
    <row r="316" spans="1:9">
      <c r="A316" s="4">
        <v>1</v>
      </c>
      <c r="B316" s="5" t="s">
        <v>409</v>
      </c>
      <c r="C316" s="6">
        <v>9699</v>
      </c>
      <c r="D316" s="7">
        <v>20</v>
      </c>
      <c r="E316">
        <v>5.9999999999999993E-3</v>
      </c>
      <c r="F316" s="1">
        <v>201</v>
      </c>
      <c r="G316" s="1" t="str">
        <f>VLOOKUP(F316,'Master(Ko Xóa)'!$F$2:$H$158,3,0)</f>
        <v>Out</v>
      </c>
      <c r="H316" s="6" t="s">
        <v>1107</v>
      </c>
      <c r="I316" s="6" t="s">
        <v>1111</v>
      </c>
    </row>
    <row r="317" spans="1:9">
      <c r="A317" s="4">
        <v>1</v>
      </c>
      <c r="B317" s="5" t="s">
        <v>410</v>
      </c>
      <c r="C317" s="6">
        <v>9699</v>
      </c>
      <c r="D317" s="7">
        <v>20</v>
      </c>
      <c r="E317">
        <v>5.9999999999999993E-3</v>
      </c>
      <c r="F317" s="1">
        <v>201</v>
      </c>
      <c r="G317" s="1" t="str">
        <f>VLOOKUP(F317,'Master(Ko Xóa)'!$F$2:$H$158,3,0)</f>
        <v>Out</v>
      </c>
      <c r="H317" s="6" t="s">
        <v>1107</v>
      </c>
      <c r="I317" s="6" t="s">
        <v>1111</v>
      </c>
    </row>
    <row r="318" spans="1:9">
      <c r="A318" s="4">
        <v>1</v>
      </c>
      <c r="B318" s="5" t="s">
        <v>411</v>
      </c>
      <c r="C318" s="6">
        <v>9699</v>
      </c>
      <c r="D318" s="7">
        <v>20</v>
      </c>
      <c r="E318">
        <v>5.9999999999999993E-3</v>
      </c>
      <c r="F318" s="1">
        <v>201</v>
      </c>
      <c r="G318" s="1" t="str">
        <f>VLOOKUP(F318,'Master(Ko Xóa)'!$F$2:$H$158,3,0)</f>
        <v>Out</v>
      </c>
      <c r="H318" s="6" t="s">
        <v>1107</v>
      </c>
      <c r="I318" s="6" t="s">
        <v>1111</v>
      </c>
    </row>
    <row r="319" spans="1:9">
      <c r="A319" s="4">
        <v>1</v>
      </c>
      <c r="B319" s="5" t="s">
        <v>412</v>
      </c>
      <c r="C319" s="6">
        <v>9699</v>
      </c>
      <c r="D319" s="7">
        <v>20</v>
      </c>
      <c r="E319">
        <v>5.9999999999999993E-3</v>
      </c>
      <c r="F319" s="1">
        <v>201</v>
      </c>
      <c r="G319" s="1" t="str">
        <f>VLOOKUP(F319,'Master(Ko Xóa)'!$F$2:$H$158,3,0)</f>
        <v>Out</v>
      </c>
      <c r="H319" s="6" t="s">
        <v>1107</v>
      </c>
      <c r="I319" s="6" t="s">
        <v>1111</v>
      </c>
    </row>
    <row r="320" spans="1:9">
      <c r="A320" s="4">
        <v>1</v>
      </c>
      <c r="B320" s="5" t="s">
        <v>413</v>
      </c>
      <c r="C320" s="6">
        <v>9699</v>
      </c>
      <c r="D320" s="7">
        <v>20</v>
      </c>
      <c r="E320">
        <v>5.9999999999999993E-3</v>
      </c>
      <c r="F320" s="1">
        <v>201</v>
      </c>
      <c r="G320" s="1" t="str">
        <f>VLOOKUP(F320,'Master(Ko Xóa)'!$F$2:$H$158,3,0)</f>
        <v>Out</v>
      </c>
      <c r="H320" s="6" t="s">
        <v>1107</v>
      </c>
      <c r="I320" s="6" t="s">
        <v>1111</v>
      </c>
    </row>
    <row r="321" spans="1:9">
      <c r="A321" s="4">
        <v>1</v>
      </c>
      <c r="B321" s="5" t="s">
        <v>414</v>
      </c>
      <c r="C321" s="6">
        <v>9699</v>
      </c>
      <c r="D321" s="7">
        <v>20</v>
      </c>
      <c r="E321">
        <v>1.7999999999999999E-2</v>
      </c>
      <c r="F321" s="1">
        <v>201</v>
      </c>
      <c r="G321" s="1" t="str">
        <f>VLOOKUP(F321,'Master(Ko Xóa)'!$F$2:$H$158,3,0)</f>
        <v>Out</v>
      </c>
      <c r="H321" s="6" t="s">
        <v>1107</v>
      </c>
      <c r="I321" s="6" t="s">
        <v>1111</v>
      </c>
    </row>
    <row r="322" spans="1:9">
      <c r="A322" s="4">
        <v>1</v>
      </c>
      <c r="B322" s="5" t="s">
        <v>415</v>
      </c>
      <c r="C322" s="6">
        <v>9699</v>
      </c>
      <c r="D322" s="7">
        <v>20</v>
      </c>
      <c r="E322">
        <v>1.6799999999999999E-2</v>
      </c>
      <c r="F322" s="1">
        <v>201</v>
      </c>
      <c r="G322" s="1" t="str">
        <f>VLOOKUP(F322,'Master(Ko Xóa)'!$F$2:$H$158,3,0)</f>
        <v>Out</v>
      </c>
      <c r="H322" s="6" t="s">
        <v>1107</v>
      </c>
      <c r="I322" s="6" t="s">
        <v>1111</v>
      </c>
    </row>
    <row r="323" spans="1:9">
      <c r="A323" s="4">
        <v>1</v>
      </c>
      <c r="B323" s="5" t="s">
        <v>416</v>
      </c>
      <c r="C323" s="6">
        <v>9699</v>
      </c>
      <c r="D323" s="7">
        <v>1</v>
      </c>
      <c r="E323">
        <v>0.27867000000000003</v>
      </c>
      <c r="F323" s="1">
        <v>201</v>
      </c>
      <c r="G323" s="1" t="str">
        <f>VLOOKUP(F323,'Master(Ko Xóa)'!$F$2:$H$158,3,0)</f>
        <v>Out</v>
      </c>
      <c r="H323" s="6" t="s">
        <v>1107</v>
      </c>
      <c r="I323" s="6" t="s">
        <v>1111</v>
      </c>
    </row>
    <row r="324" spans="1:9">
      <c r="A324" s="4">
        <v>1</v>
      </c>
      <c r="B324" s="5" t="s">
        <v>417</v>
      </c>
      <c r="C324" s="6">
        <v>9699</v>
      </c>
      <c r="D324" s="7">
        <v>1</v>
      </c>
      <c r="E324">
        <v>0.26700999999999997</v>
      </c>
      <c r="F324" s="1">
        <v>201</v>
      </c>
      <c r="G324" s="1" t="str">
        <f>VLOOKUP(F324,'Master(Ko Xóa)'!$F$2:$H$158,3,0)</f>
        <v>Out</v>
      </c>
      <c r="H324" s="6" t="s">
        <v>1107</v>
      </c>
      <c r="I324" s="6" t="s">
        <v>1111</v>
      </c>
    </row>
    <row r="325" spans="1:9">
      <c r="A325" s="4">
        <v>1</v>
      </c>
      <c r="B325" s="5" t="s">
        <v>418</v>
      </c>
      <c r="C325" s="6">
        <v>9699</v>
      </c>
      <c r="D325" s="7">
        <v>5</v>
      </c>
      <c r="E325">
        <v>0.80670000000000008</v>
      </c>
      <c r="F325" s="1">
        <v>201</v>
      </c>
      <c r="G325" s="1" t="str">
        <f>VLOOKUP(F325,'Master(Ko Xóa)'!$F$2:$H$158,3,0)</f>
        <v>Out</v>
      </c>
      <c r="H325" s="6" t="s">
        <v>1107</v>
      </c>
      <c r="I325" s="6" t="s">
        <v>1111</v>
      </c>
    </row>
    <row r="326" spans="1:9">
      <c r="A326" s="4">
        <v>1</v>
      </c>
      <c r="B326" s="5" t="s">
        <v>419</v>
      </c>
      <c r="C326" s="6">
        <v>9699</v>
      </c>
      <c r="D326" s="7">
        <v>5</v>
      </c>
      <c r="E326">
        <v>0.73324999999999996</v>
      </c>
      <c r="F326" s="1">
        <v>201</v>
      </c>
      <c r="G326" s="1" t="str">
        <f>VLOOKUP(F326,'Master(Ko Xóa)'!$F$2:$H$158,3,0)</f>
        <v>Out</v>
      </c>
      <c r="H326" s="6" t="s">
        <v>1107</v>
      </c>
      <c r="I326" s="6" t="s">
        <v>1111</v>
      </c>
    </row>
    <row r="327" spans="1:9">
      <c r="A327" s="4">
        <v>1</v>
      </c>
      <c r="B327" s="5" t="s">
        <v>420</v>
      </c>
      <c r="C327" s="6">
        <v>9699</v>
      </c>
      <c r="D327" s="7">
        <v>1</v>
      </c>
      <c r="E327">
        <v>1.6164000000000001</v>
      </c>
      <c r="F327" s="1">
        <v>201</v>
      </c>
      <c r="G327" s="1" t="str">
        <f>VLOOKUP(F327,'Master(Ko Xóa)'!$F$2:$H$158,3,0)</f>
        <v>Out</v>
      </c>
      <c r="H327" s="6" t="s">
        <v>1107</v>
      </c>
      <c r="I327" s="6" t="s">
        <v>1111</v>
      </c>
    </row>
    <row r="328" spans="1:9">
      <c r="A328" s="4">
        <v>1</v>
      </c>
      <c r="B328" s="5" t="s">
        <v>421</v>
      </c>
      <c r="C328" s="6">
        <v>9699</v>
      </c>
      <c r="D328" s="7">
        <v>1</v>
      </c>
      <c r="E328">
        <v>2.9499999999999998E-2</v>
      </c>
      <c r="F328" s="1">
        <v>201</v>
      </c>
      <c r="G328" s="1" t="str">
        <f>VLOOKUP(F328,'Master(Ko Xóa)'!$F$2:$H$158,3,0)</f>
        <v>Out</v>
      </c>
      <c r="H328" s="6" t="s">
        <v>1107</v>
      </c>
      <c r="I328" s="6" t="s">
        <v>1111</v>
      </c>
    </row>
    <row r="329" spans="1:9">
      <c r="A329" s="4">
        <v>1</v>
      </c>
      <c r="B329" s="5" t="s">
        <v>422</v>
      </c>
      <c r="C329" s="6">
        <v>9699</v>
      </c>
      <c r="D329" s="7">
        <v>1</v>
      </c>
      <c r="E329">
        <v>7.6100000000000001E-2</v>
      </c>
      <c r="F329" s="1">
        <v>201</v>
      </c>
      <c r="G329" s="1" t="str">
        <f>VLOOKUP(F329,'Master(Ko Xóa)'!$F$2:$H$158,3,0)</f>
        <v>Out</v>
      </c>
      <c r="H329" s="6" t="s">
        <v>1107</v>
      </c>
      <c r="I329" s="6" t="s">
        <v>1111</v>
      </c>
    </row>
    <row r="330" spans="1:9">
      <c r="A330" s="4">
        <v>1</v>
      </c>
      <c r="B330" s="5" t="s">
        <v>423</v>
      </c>
      <c r="C330" s="6">
        <v>9699</v>
      </c>
      <c r="D330" s="7">
        <v>1</v>
      </c>
      <c r="E330">
        <v>9.06E-2</v>
      </c>
      <c r="F330" s="1">
        <v>201</v>
      </c>
      <c r="G330" s="1" t="str">
        <f>VLOOKUP(F330,'Master(Ko Xóa)'!$F$2:$H$158,3,0)</f>
        <v>Out</v>
      </c>
      <c r="H330" s="6" t="s">
        <v>1107</v>
      </c>
      <c r="I330" s="6" t="s">
        <v>1111</v>
      </c>
    </row>
    <row r="331" spans="1:9">
      <c r="A331" s="4">
        <v>1</v>
      </c>
      <c r="B331" s="5" t="s">
        <v>424</v>
      </c>
      <c r="C331" s="6">
        <v>9699</v>
      </c>
      <c r="D331" s="7">
        <v>1</v>
      </c>
      <c r="E331">
        <v>5.0799999999999998E-2</v>
      </c>
      <c r="F331" s="1">
        <v>201</v>
      </c>
      <c r="G331" s="1" t="str">
        <f>VLOOKUP(F331,'Master(Ko Xóa)'!$F$2:$H$158,3,0)</f>
        <v>Out</v>
      </c>
      <c r="H331" s="6" t="s">
        <v>1107</v>
      </c>
      <c r="I331" s="6" t="s">
        <v>1111</v>
      </c>
    </row>
    <row r="332" spans="1:9">
      <c r="A332" s="4">
        <v>1</v>
      </c>
      <c r="B332" s="5" t="s">
        <v>425</v>
      </c>
      <c r="C332" s="6">
        <v>9699</v>
      </c>
      <c r="D332" s="7">
        <v>1</v>
      </c>
      <c r="E332">
        <v>6.1661299999999999</v>
      </c>
      <c r="F332" s="1">
        <v>201</v>
      </c>
      <c r="G332" s="1" t="str">
        <f>VLOOKUP(F332,'Master(Ko Xóa)'!$F$2:$H$158,3,0)</f>
        <v>Out</v>
      </c>
      <c r="H332" s="6" t="s">
        <v>1107</v>
      </c>
      <c r="I332" s="6" t="s">
        <v>1111</v>
      </c>
    </row>
    <row r="333" spans="1:9">
      <c r="A333" s="4">
        <v>1</v>
      </c>
      <c r="B333" s="5" t="s">
        <v>426</v>
      </c>
      <c r="C333" s="6">
        <v>9699</v>
      </c>
      <c r="D333" s="7">
        <v>2</v>
      </c>
      <c r="E333">
        <v>18.268599999999999</v>
      </c>
      <c r="F333" s="1">
        <v>201</v>
      </c>
      <c r="G333" s="1" t="str">
        <f>VLOOKUP(F333,'Master(Ko Xóa)'!$F$2:$H$158,3,0)</f>
        <v>Out</v>
      </c>
      <c r="H333" s="6" t="s">
        <v>1107</v>
      </c>
      <c r="I333" s="6" t="s">
        <v>1111</v>
      </c>
    </row>
    <row r="334" spans="1:9">
      <c r="A334" s="4">
        <v>1</v>
      </c>
      <c r="B334" s="5" t="s">
        <v>427</v>
      </c>
      <c r="C334" s="6">
        <v>9699</v>
      </c>
      <c r="D334" s="7">
        <v>1</v>
      </c>
      <c r="E334">
        <v>3.6680000000000001</v>
      </c>
      <c r="F334" s="1">
        <v>201</v>
      </c>
      <c r="G334" s="1" t="str">
        <f>VLOOKUP(F334,'Master(Ko Xóa)'!$F$2:$H$158,3,0)</f>
        <v>Out</v>
      </c>
      <c r="H334" s="6" t="s">
        <v>1107</v>
      </c>
      <c r="I334" s="6" t="s">
        <v>1111</v>
      </c>
    </row>
    <row r="335" spans="1:9">
      <c r="A335" s="4">
        <v>1</v>
      </c>
      <c r="B335" s="5" t="s">
        <v>428</v>
      </c>
      <c r="C335" s="6">
        <v>9699</v>
      </c>
      <c r="D335" s="7">
        <v>1</v>
      </c>
      <c r="E335">
        <v>1.6E-2</v>
      </c>
      <c r="F335" s="1">
        <v>201</v>
      </c>
      <c r="G335" s="1" t="str">
        <f>VLOOKUP(F335,'Master(Ko Xóa)'!$F$2:$H$158,3,0)</f>
        <v>Out</v>
      </c>
      <c r="H335" s="6" t="s">
        <v>1107</v>
      </c>
      <c r="I335" s="6" t="s">
        <v>1111</v>
      </c>
    </row>
    <row r="336" spans="1:9">
      <c r="A336" s="4">
        <v>1</v>
      </c>
      <c r="B336" s="5" t="s">
        <v>429</v>
      </c>
      <c r="C336" s="6">
        <v>9699</v>
      </c>
      <c r="D336" s="7">
        <v>1</v>
      </c>
      <c r="E336">
        <v>8.3000000000000001E-3</v>
      </c>
      <c r="F336" s="1">
        <v>201</v>
      </c>
      <c r="G336" s="1" t="str">
        <f>VLOOKUP(F336,'Master(Ko Xóa)'!$F$2:$H$158,3,0)</f>
        <v>Out</v>
      </c>
      <c r="H336" s="6" t="s">
        <v>1107</v>
      </c>
      <c r="I336" s="6" t="s">
        <v>1111</v>
      </c>
    </row>
    <row r="337" spans="1:9">
      <c r="A337" s="4">
        <v>1</v>
      </c>
      <c r="B337" s="5" t="s">
        <v>430</v>
      </c>
      <c r="C337" s="6">
        <v>9699</v>
      </c>
      <c r="D337" s="7">
        <v>1</v>
      </c>
      <c r="E337">
        <v>3.7399999999999996E-2</v>
      </c>
      <c r="F337" s="1">
        <v>201</v>
      </c>
      <c r="G337" s="1" t="str">
        <f>VLOOKUP(F337,'Master(Ko Xóa)'!$F$2:$H$158,3,0)</f>
        <v>Out</v>
      </c>
      <c r="H337" s="6" t="s">
        <v>1107</v>
      </c>
      <c r="I337" s="6" t="s">
        <v>1111</v>
      </c>
    </row>
    <row r="338" spans="1:9">
      <c r="A338" s="4">
        <v>1</v>
      </c>
      <c r="B338" s="5" t="s">
        <v>431</v>
      </c>
      <c r="C338" s="6">
        <v>9699</v>
      </c>
      <c r="D338" s="7">
        <v>1</v>
      </c>
      <c r="E338">
        <v>0.15253999999999998</v>
      </c>
      <c r="F338" s="1">
        <v>201</v>
      </c>
      <c r="G338" s="1" t="str">
        <f>VLOOKUP(F338,'Master(Ko Xóa)'!$F$2:$H$158,3,0)</f>
        <v>Out</v>
      </c>
      <c r="H338" s="6" t="s">
        <v>1107</v>
      </c>
      <c r="I338" s="6" t="s">
        <v>1111</v>
      </c>
    </row>
    <row r="339" spans="1:9">
      <c r="A339" s="4">
        <v>1</v>
      </c>
      <c r="B339" s="5" t="s">
        <v>432</v>
      </c>
      <c r="C339" s="6">
        <v>9699</v>
      </c>
      <c r="D339" s="7">
        <v>1</v>
      </c>
      <c r="E339">
        <v>1.6789999999999999E-2</v>
      </c>
      <c r="F339" s="1">
        <v>201</v>
      </c>
      <c r="G339" s="1" t="str">
        <f>VLOOKUP(F339,'Master(Ko Xóa)'!$F$2:$H$158,3,0)</f>
        <v>Out</v>
      </c>
      <c r="H339" s="6" t="s">
        <v>1107</v>
      </c>
      <c r="I339" s="6" t="s">
        <v>1111</v>
      </c>
    </row>
    <row r="340" spans="1:9">
      <c r="A340" s="4">
        <v>1</v>
      </c>
      <c r="B340" s="5" t="s">
        <v>433</v>
      </c>
      <c r="C340" s="6">
        <v>9699</v>
      </c>
      <c r="D340" s="7">
        <v>20</v>
      </c>
      <c r="E340">
        <v>2.7200000000000002E-2</v>
      </c>
      <c r="F340" s="1">
        <v>201</v>
      </c>
      <c r="G340" s="1" t="str">
        <f>VLOOKUP(F340,'Master(Ko Xóa)'!$F$2:$H$158,3,0)</f>
        <v>Out</v>
      </c>
      <c r="H340" s="6" t="s">
        <v>1107</v>
      </c>
      <c r="I340" s="6" t="s">
        <v>1111</v>
      </c>
    </row>
    <row r="341" spans="1:9">
      <c r="A341" s="4">
        <v>1</v>
      </c>
      <c r="B341" s="5" t="s">
        <v>434</v>
      </c>
      <c r="C341" s="6">
        <v>9699</v>
      </c>
      <c r="D341" s="7">
        <v>20</v>
      </c>
      <c r="E341">
        <v>7.8600000000000003E-2</v>
      </c>
      <c r="F341" s="1">
        <v>201</v>
      </c>
      <c r="G341" s="1" t="str">
        <f>VLOOKUP(F341,'Master(Ko Xóa)'!$F$2:$H$158,3,0)</f>
        <v>Out</v>
      </c>
      <c r="H341" s="6" t="s">
        <v>1107</v>
      </c>
      <c r="I341" s="6" t="s">
        <v>1111</v>
      </c>
    </row>
    <row r="342" spans="1:9">
      <c r="A342" s="4">
        <v>1</v>
      </c>
      <c r="B342" s="5" t="s">
        <v>435</v>
      </c>
      <c r="C342" s="6">
        <v>9699</v>
      </c>
      <c r="D342" s="7">
        <v>20</v>
      </c>
      <c r="E342">
        <v>9.7200000000000009E-2</v>
      </c>
      <c r="F342" s="1">
        <v>201</v>
      </c>
      <c r="G342" s="1" t="str">
        <f>VLOOKUP(F342,'Master(Ko Xóa)'!$F$2:$H$158,3,0)</f>
        <v>Out</v>
      </c>
      <c r="H342" s="6" t="s">
        <v>1107</v>
      </c>
      <c r="I342" s="6" t="s">
        <v>1111</v>
      </c>
    </row>
    <row r="343" spans="1:9">
      <c r="A343" s="4">
        <v>1</v>
      </c>
      <c r="B343" s="5" t="s">
        <v>436</v>
      </c>
      <c r="C343" s="6">
        <v>9699</v>
      </c>
      <c r="D343" s="7">
        <v>20</v>
      </c>
      <c r="E343">
        <v>2.2000000000000002E-2</v>
      </c>
      <c r="F343" s="1">
        <v>201</v>
      </c>
      <c r="G343" s="1" t="str">
        <f>VLOOKUP(F343,'Master(Ko Xóa)'!$F$2:$H$158,3,0)</f>
        <v>Out</v>
      </c>
      <c r="H343" s="6" t="s">
        <v>1107</v>
      </c>
      <c r="I343" s="6" t="s">
        <v>1111</v>
      </c>
    </row>
    <row r="344" spans="1:9">
      <c r="A344" s="4">
        <v>1</v>
      </c>
      <c r="B344" s="5" t="s">
        <v>437</v>
      </c>
      <c r="C344" s="6">
        <v>9699</v>
      </c>
      <c r="D344" s="7">
        <v>20</v>
      </c>
      <c r="E344">
        <v>2.4199999999999999E-2</v>
      </c>
      <c r="F344" s="1">
        <v>201</v>
      </c>
      <c r="G344" s="1" t="str">
        <f>VLOOKUP(F344,'Master(Ko Xóa)'!$F$2:$H$158,3,0)</f>
        <v>Out</v>
      </c>
      <c r="H344" s="6" t="s">
        <v>1107</v>
      </c>
      <c r="I344" s="6" t="s">
        <v>1111</v>
      </c>
    </row>
    <row r="345" spans="1:9">
      <c r="A345" s="4">
        <v>1</v>
      </c>
      <c r="B345" s="5" t="s">
        <v>438</v>
      </c>
      <c r="C345" s="6">
        <v>9699</v>
      </c>
      <c r="D345" s="7">
        <v>20</v>
      </c>
      <c r="E345">
        <v>1.2800000000000001E-2</v>
      </c>
      <c r="F345" s="1">
        <v>201</v>
      </c>
      <c r="G345" s="1" t="str">
        <f>VLOOKUP(F345,'Master(Ko Xóa)'!$F$2:$H$158,3,0)</f>
        <v>Out</v>
      </c>
      <c r="H345" s="6" t="s">
        <v>1107</v>
      </c>
      <c r="I345" s="6" t="s">
        <v>1111</v>
      </c>
    </row>
    <row r="346" spans="1:9">
      <c r="A346" s="4">
        <v>1</v>
      </c>
      <c r="B346" s="5" t="s">
        <v>439</v>
      </c>
      <c r="C346" s="6">
        <v>9699</v>
      </c>
      <c r="D346" s="7">
        <v>20</v>
      </c>
      <c r="E346">
        <v>1.4199999999999997E-2</v>
      </c>
      <c r="F346" s="1">
        <v>201</v>
      </c>
      <c r="G346" s="1" t="str">
        <f>VLOOKUP(F346,'Master(Ko Xóa)'!$F$2:$H$158,3,0)</f>
        <v>Out</v>
      </c>
      <c r="H346" s="6" t="s">
        <v>1107</v>
      </c>
      <c r="I346" s="6" t="s">
        <v>1111</v>
      </c>
    </row>
    <row r="347" spans="1:9">
      <c r="A347" s="4">
        <v>1</v>
      </c>
      <c r="B347" s="5" t="s">
        <v>440</v>
      </c>
      <c r="C347" s="6">
        <v>9699</v>
      </c>
      <c r="D347" s="7">
        <v>20</v>
      </c>
      <c r="E347">
        <v>0.01</v>
      </c>
      <c r="F347" s="1">
        <v>201</v>
      </c>
      <c r="G347" s="1" t="str">
        <f>VLOOKUP(F347,'Master(Ko Xóa)'!$F$2:$H$158,3,0)</f>
        <v>Out</v>
      </c>
      <c r="H347" s="6" t="s">
        <v>1107</v>
      </c>
      <c r="I347" s="6" t="s">
        <v>1111</v>
      </c>
    </row>
    <row r="348" spans="1:9">
      <c r="A348" s="4">
        <v>1</v>
      </c>
      <c r="B348" s="5" t="s">
        <v>441</v>
      </c>
      <c r="C348" s="6">
        <v>9699</v>
      </c>
      <c r="D348" s="7">
        <v>20</v>
      </c>
      <c r="E348">
        <v>0.01</v>
      </c>
      <c r="F348" s="1">
        <v>201</v>
      </c>
      <c r="G348" s="1" t="str">
        <f>VLOOKUP(F348,'Master(Ko Xóa)'!$F$2:$H$158,3,0)</f>
        <v>Out</v>
      </c>
      <c r="H348" s="6" t="s">
        <v>1107</v>
      </c>
      <c r="I348" s="6" t="s">
        <v>1111</v>
      </c>
    </row>
    <row r="349" spans="1:9">
      <c r="A349" s="4">
        <v>1</v>
      </c>
      <c r="B349" s="5" t="s">
        <v>442</v>
      </c>
      <c r="C349" s="6">
        <v>9699</v>
      </c>
      <c r="D349" s="7">
        <v>20</v>
      </c>
      <c r="E349">
        <v>5.4200000000000005E-2</v>
      </c>
      <c r="F349" s="1">
        <v>201</v>
      </c>
      <c r="G349" s="1" t="str">
        <f>VLOOKUP(F349,'Master(Ko Xóa)'!$F$2:$H$158,3,0)</f>
        <v>Out</v>
      </c>
      <c r="H349" s="6" t="s">
        <v>1107</v>
      </c>
      <c r="I349" s="6" t="s">
        <v>1111</v>
      </c>
    </row>
    <row r="350" spans="1:9">
      <c r="A350" s="4">
        <v>1</v>
      </c>
      <c r="B350" s="5" t="s">
        <v>443</v>
      </c>
      <c r="C350" s="6">
        <v>9699</v>
      </c>
      <c r="D350" s="7">
        <v>20</v>
      </c>
      <c r="E350">
        <v>1.6399999999999998E-2</v>
      </c>
      <c r="F350" s="1">
        <v>201</v>
      </c>
      <c r="G350" s="1" t="str">
        <f>VLOOKUP(F350,'Master(Ko Xóa)'!$F$2:$H$158,3,0)</f>
        <v>Out</v>
      </c>
      <c r="H350" s="6" t="s">
        <v>1107</v>
      </c>
      <c r="I350" s="6" t="s">
        <v>1111</v>
      </c>
    </row>
    <row r="351" spans="1:9">
      <c r="A351" s="4">
        <v>1</v>
      </c>
      <c r="B351" s="5" t="s">
        <v>444</v>
      </c>
      <c r="C351" s="6">
        <v>9699</v>
      </c>
      <c r="D351" s="7">
        <v>20</v>
      </c>
      <c r="E351">
        <v>7.8600000000000003E-2</v>
      </c>
      <c r="F351" s="1">
        <v>201</v>
      </c>
      <c r="G351" s="1" t="str">
        <f>VLOOKUP(F351,'Master(Ko Xóa)'!$F$2:$H$158,3,0)</f>
        <v>Out</v>
      </c>
      <c r="H351" s="6" t="s">
        <v>1107</v>
      </c>
      <c r="I351" s="6" t="s">
        <v>1111</v>
      </c>
    </row>
    <row r="352" spans="1:9">
      <c r="A352" s="4">
        <v>1</v>
      </c>
      <c r="B352" s="5" t="s">
        <v>445</v>
      </c>
      <c r="C352" s="6">
        <v>9699</v>
      </c>
      <c r="D352" s="7">
        <v>20</v>
      </c>
      <c r="E352">
        <v>0.1328</v>
      </c>
      <c r="F352" s="1">
        <v>201</v>
      </c>
      <c r="G352" s="1" t="str">
        <f>VLOOKUP(F352,'Master(Ko Xóa)'!$F$2:$H$158,3,0)</f>
        <v>Out</v>
      </c>
      <c r="H352" s="6" t="s">
        <v>1107</v>
      </c>
      <c r="I352" s="6" t="s">
        <v>1111</v>
      </c>
    </row>
    <row r="353" spans="1:9">
      <c r="A353" s="4">
        <v>1</v>
      </c>
      <c r="B353" s="5" t="s">
        <v>446</v>
      </c>
      <c r="C353" s="6">
        <v>9699</v>
      </c>
      <c r="D353" s="7">
        <v>20</v>
      </c>
      <c r="E353">
        <v>0.39579999999999999</v>
      </c>
      <c r="F353" s="1">
        <v>201</v>
      </c>
      <c r="G353" s="1" t="str">
        <f>VLOOKUP(F353,'Master(Ko Xóa)'!$F$2:$H$158,3,0)</f>
        <v>Out</v>
      </c>
      <c r="H353" s="6" t="s">
        <v>1107</v>
      </c>
      <c r="I353" s="6" t="s">
        <v>1111</v>
      </c>
    </row>
    <row r="354" spans="1:9">
      <c r="A354" s="4">
        <v>1</v>
      </c>
      <c r="B354" s="5" t="s">
        <v>447</v>
      </c>
      <c r="C354" s="6">
        <v>9699</v>
      </c>
      <c r="D354" s="7">
        <v>20</v>
      </c>
      <c r="E354">
        <v>0.58000000000000007</v>
      </c>
      <c r="F354" s="1">
        <v>201</v>
      </c>
      <c r="G354" s="1" t="str">
        <f>VLOOKUP(F354,'Master(Ko Xóa)'!$F$2:$H$158,3,0)</f>
        <v>Out</v>
      </c>
      <c r="H354" s="6" t="s">
        <v>1107</v>
      </c>
      <c r="I354" s="6" t="s">
        <v>1111</v>
      </c>
    </row>
    <row r="355" spans="1:9">
      <c r="A355" s="4">
        <v>1</v>
      </c>
      <c r="B355" s="5" t="s">
        <v>448</v>
      </c>
      <c r="C355" s="6">
        <v>9699</v>
      </c>
      <c r="D355" s="7">
        <v>20</v>
      </c>
      <c r="E355">
        <v>0.32579999999999998</v>
      </c>
      <c r="F355" s="1">
        <v>201</v>
      </c>
      <c r="G355" s="1" t="str">
        <f>VLOOKUP(F355,'Master(Ko Xóa)'!$F$2:$H$158,3,0)</f>
        <v>Out</v>
      </c>
      <c r="H355" s="6" t="s">
        <v>1107</v>
      </c>
      <c r="I355" s="6" t="s">
        <v>1111</v>
      </c>
    </row>
    <row r="356" spans="1:9">
      <c r="A356" s="4">
        <v>1</v>
      </c>
      <c r="B356" s="5" t="s">
        <v>449</v>
      </c>
      <c r="C356" s="6">
        <v>9699</v>
      </c>
      <c r="D356" s="7">
        <v>20</v>
      </c>
      <c r="E356">
        <v>2.2000000000000002E-2</v>
      </c>
      <c r="F356" s="1">
        <v>201</v>
      </c>
      <c r="G356" s="1" t="str">
        <f>VLOOKUP(F356,'Master(Ko Xóa)'!$F$2:$H$158,3,0)</f>
        <v>Out</v>
      </c>
      <c r="H356" s="6" t="s">
        <v>1107</v>
      </c>
      <c r="I356" s="6" t="s">
        <v>1111</v>
      </c>
    </row>
    <row r="357" spans="1:9">
      <c r="A357" s="4">
        <v>1</v>
      </c>
      <c r="B357" s="5" t="s">
        <v>450</v>
      </c>
      <c r="C357" s="6">
        <v>9699</v>
      </c>
      <c r="D357" s="7">
        <v>20</v>
      </c>
      <c r="E357">
        <v>4.8600000000000004E-2</v>
      </c>
      <c r="F357" s="1">
        <v>201</v>
      </c>
      <c r="G357" s="1" t="str">
        <f>VLOOKUP(F357,'Master(Ko Xóa)'!$F$2:$H$158,3,0)</f>
        <v>Out</v>
      </c>
      <c r="H357" s="6" t="s">
        <v>1107</v>
      </c>
      <c r="I357" s="6" t="s">
        <v>1111</v>
      </c>
    </row>
    <row r="358" spans="1:9">
      <c r="A358" s="4">
        <v>1</v>
      </c>
      <c r="B358" s="5" t="s">
        <v>451</v>
      </c>
      <c r="C358" s="6">
        <v>9699</v>
      </c>
      <c r="D358" s="7">
        <v>10</v>
      </c>
      <c r="E358">
        <v>0.26</v>
      </c>
      <c r="F358" s="1">
        <v>201</v>
      </c>
      <c r="G358" s="1" t="str">
        <f>VLOOKUP(F358,'Master(Ko Xóa)'!$F$2:$H$158,3,0)</f>
        <v>Out</v>
      </c>
      <c r="H358" s="6" t="s">
        <v>1107</v>
      </c>
      <c r="I358" s="6" t="s">
        <v>1111</v>
      </c>
    </row>
    <row r="359" spans="1:9">
      <c r="A359" s="4">
        <v>1</v>
      </c>
      <c r="B359" s="5" t="s">
        <v>452</v>
      </c>
      <c r="C359" s="6">
        <v>9699</v>
      </c>
      <c r="D359" s="7">
        <v>10</v>
      </c>
      <c r="E359">
        <v>5.7000000000000002E-2</v>
      </c>
      <c r="F359" s="1">
        <v>201</v>
      </c>
      <c r="G359" s="1" t="str">
        <f>VLOOKUP(F359,'Master(Ko Xóa)'!$F$2:$H$158,3,0)</f>
        <v>Out</v>
      </c>
      <c r="H359" s="6" t="s">
        <v>1107</v>
      </c>
      <c r="I359" s="6" t="s">
        <v>1111</v>
      </c>
    </row>
    <row r="360" spans="1:9">
      <c r="A360" s="4">
        <v>1</v>
      </c>
      <c r="B360" s="5" t="s">
        <v>453</v>
      </c>
      <c r="C360" s="6">
        <v>9699</v>
      </c>
      <c r="D360" s="7">
        <v>20</v>
      </c>
      <c r="E360">
        <v>9.6999999999999989E-2</v>
      </c>
      <c r="F360" s="1">
        <v>201</v>
      </c>
      <c r="G360" s="1" t="str">
        <f>VLOOKUP(F360,'Master(Ko Xóa)'!$F$2:$H$158,3,0)</f>
        <v>Out</v>
      </c>
      <c r="H360" s="6" t="s">
        <v>1107</v>
      </c>
      <c r="I360" s="6" t="s">
        <v>1111</v>
      </c>
    </row>
    <row r="361" spans="1:9">
      <c r="A361" s="4">
        <v>1</v>
      </c>
      <c r="B361" s="5" t="s">
        <v>454</v>
      </c>
      <c r="C361" s="6">
        <v>9699</v>
      </c>
      <c r="D361" s="7">
        <v>10</v>
      </c>
      <c r="E361">
        <v>0.25790000000000002</v>
      </c>
      <c r="F361" s="1">
        <v>201</v>
      </c>
      <c r="G361" s="1" t="str">
        <f>VLOOKUP(F361,'Master(Ko Xóa)'!$F$2:$H$158,3,0)</f>
        <v>Out</v>
      </c>
      <c r="H361" s="6" t="s">
        <v>1107</v>
      </c>
      <c r="I361" s="6" t="s">
        <v>1111</v>
      </c>
    </row>
    <row r="362" spans="1:9">
      <c r="A362" s="4">
        <v>1</v>
      </c>
      <c r="B362" s="5" t="s">
        <v>455</v>
      </c>
      <c r="C362" s="6">
        <v>9699</v>
      </c>
      <c r="D362" s="7">
        <v>20</v>
      </c>
      <c r="E362">
        <v>8.6E-3</v>
      </c>
      <c r="F362" s="1">
        <v>201</v>
      </c>
      <c r="G362" s="1" t="str">
        <f>VLOOKUP(F362,'Master(Ko Xóa)'!$F$2:$H$158,3,0)</f>
        <v>Out</v>
      </c>
      <c r="H362" s="6" t="s">
        <v>1107</v>
      </c>
      <c r="I362" s="6" t="s">
        <v>1111</v>
      </c>
    </row>
    <row r="363" spans="1:9">
      <c r="A363" s="4">
        <v>1</v>
      </c>
      <c r="B363" s="5" t="s">
        <v>456</v>
      </c>
      <c r="C363" s="6">
        <v>9699</v>
      </c>
      <c r="D363" s="7">
        <v>20</v>
      </c>
      <c r="E363">
        <v>2.2800000000000001E-2</v>
      </c>
      <c r="F363" s="1">
        <v>201</v>
      </c>
      <c r="G363" s="1" t="str">
        <f>VLOOKUP(F363,'Master(Ko Xóa)'!$F$2:$H$158,3,0)</f>
        <v>Out</v>
      </c>
      <c r="H363" s="6" t="s">
        <v>1107</v>
      </c>
      <c r="I363" s="6" t="s">
        <v>1111</v>
      </c>
    </row>
    <row r="364" spans="1:9">
      <c r="A364" s="4">
        <v>1</v>
      </c>
      <c r="B364" s="5" t="s">
        <v>162</v>
      </c>
      <c r="C364" s="6">
        <v>9699</v>
      </c>
      <c r="D364" s="7">
        <v>20</v>
      </c>
      <c r="E364">
        <v>5.4200000000000005E-2</v>
      </c>
      <c r="F364" s="1">
        <v>201</v>
      </c>
      <c r="G364" s="1" t="str">
        <f>VLOOKUP(F364,'Master(Ko Xóa)'!$F$2:$H$158,3,0)</f>
        <v>Out</v>
      </c>
      <c r="H364" s="6" t="s">
        <v>1107</v>
      </c>
      <c r="I364" s="6" t="s">
        <v>1111</v>
      </c>
    </row>
    <row r="365" spans="1:9">
      <c r="A365" s="4">
        <v>1</v>
      </c>
      <c r="B365" s="5" t="s">
        <v>457</v>
      </c>
      <c r="C365" s="6">
        <v>9699</v>
      </c>
      <c r="D365" s="7">
        <v>20</v>
      </c>
      <c r="E365">
        <v>3.2799999999999996E-2</v>
      </c>
      <c r="F365" s="1">
        <v>201</v>
      </c>
      <c r="G365" s="1" t="str">
        <f>VLOOKUP(F365,'Master(Ko Xóa)'!$F$2:$H$158,3,0)</f>
        <v>Out</v>
      </c>
      <c r="H365" s="6" t="s">
        <v>1107</v>
      </c>
      <c r="I365" s="6" t="s">
        <v>1111</v>
      </c>
    </row>
    <row r="366" spans="1:9">
      <c r="A366" s="4">
        <v>1</v>
      </c>
      <c r="B366" s="5" t="s">
        <v>458</v>
      </c>
      <c r="C366" s="6">
        <v>9699</v>
      </c>
      <c r="D366" s="7">
        <v>20</v>
      </c>
      <c r="E366">
        <v>1.5800000000000002E-2</v>
      </c>
      <c r="F366" s="1">
        <v>201</v>
      </c>
      <c r="G366" s="1" t="str">
        <f>VLOOKUP(F366,'Master(Ko Xóa)'!$F$2:$H$158,3,0)</f>
        <v>Out</v>
      </c>
      <c r="H366" s="6" t="s">
        <v>1107</v>
      </c>
      <c r="I366" s="6" t="s">
        <v>1111</v>
      </c>
    </row>
    <row r="367" spans="1:9">
      <c r="A367" s="4">
        <v>1</v>
      </c>
      <c r="B367" s="5" t="s">
        <v>459</v>
      </c>
      <c r="C367" s="6">
        <v>9699</v>
      </c>
      <c r="D367" s="7">
        <v>20</v>
      </c>
      <c r="E367">
        <v>1.72E-2</v>
      </c>
      <c r="F367" s="1">
        <v>201</v>
      </c>
      <c r="G367" s="1" t="str">
        <f>VLOOKUP(F367,'Master(Ko Xóa)'!$F$2:$H$158,3,0)</f>
        <v>Out</v>
      </c>
      <c r="H367" s="6" t="s">
        <v>1107</v>
      </c>
      <c r="I367" s="6" t="s">
        <v>1111</v>
      </c>
    </row>
    <row r="368" spans="1:9">
      <c r="A368" s="4">
        <v>1</v>
      </c>
      <c r="B368" s="5" t="s">
        <v>460</v>
      </c>
      <c r="C368" s="6">
        <v>9699</v>
      </c>
      <c r="D368" s="7">
        <v>20</v>
      </c>
      <c r="E368">
        <v>1.2800000000000001E-2</v>
      </c>
      <c r="F368" s="1">
        <v>201</v>
      </c>
      <c r="G368" s="1" t="str">
        <f>VLOOKUP(F368,'Master(Ko Xóa)'!$F$2:$H$158,3,0)</f>
        <v>Out</v>
      </c>
      <c r="H368" s="6" t="s">
        <v>1107</v>
      </c>
      <c r="I368" s="6" t="s">
        <v>1111</v>
      </c>
    </row>
    <row r="369" spans="1:9">
      <c r="A369" s="4">
        <v>1</v>
      </c>
      <c r="B369" s="5" t="s">
        <v>461</v>
      </c>
      <c r="C369" s="6">
        <v>9699</v>
      </c>
      <c r="D369" s="7">
        <v>20</v>
      </c>
      <c r="E369">
        <v>1.2800000000000001E-2</v>
      </c>
      <c r="F369" s="1">
        <v>201</v>
      </c>
      <c r="G369" s="1" t="str">
        <f>VLOOKUP(F369,'Master(Ko Xóa)'!$F$2:$H$158,3,0)</f>
        <v>Out</v>
      </c>
      <c r="H369" s="6" t="s">
        <v>1107</v>
      </c>
      <c r="I369" s="6" t="s">
        <v>1111</v>
      </c>
    </row>
    <row r="370" spans="1:9">
      <c r="A370" s="4">
        <v>1</v>
      </c>
      <c r="B370" s="5" t="s">
        <v>462</v>
      </c>
      <c r="C370" s="6">
        <v>9699</v>
      </c>
      <c r="D370" s="7">
        <v>20</v>
      </c>
      <c r="E370">
        <v>4.4200000000000003E-2</v>
      </c>
      <c r="F370" s="1">
        <v>201</v>
      </c>
      <c r="G370" s="1" t="str">
        <f>VLOOKUP(F370,'Master(Ko Xóa)'!$F$2:$H$158,3,0)</f>
        <v>Out</v>
      </c>
      <c r="H370" s="6" t="s">
        <v>1107</v>
      </c>
      <c r="I370" s="6" t="s">
        <v>1111</v>
      </c>
    </row>
    <row r="371" spans="1:9">
      <c r="A371" s="4">
        <v>1</v>
      </c>
      <c r="B371" s="5" t="s">
        <v>463</v>
      </c>
      <c r="C371" s="6">
        <v>9699</v>
      </c>
      <c r="D371" s="7">
        <v>20</v>
      </c>
      <c r="E371">
        <v>4.58E-2</v>
      </c>
      <c r="F371" s="1">
        <v>201</v>
      </c>
      <c r="G371" s="1" t="str">
        <f>VLOOKUP(F371,'Master(Ko Xóa)'!$F$2:$H$158,3,0)</f>
        <v>Out</v>
      </c>
      <c r="H371" s="6" t="s">
        <v>1107</v>
      </c>
      <c r="I371" s="6" t="s">
        <v>1111</v>
      </c>
    </row>
    <row r="372" spans="1:9">
      <c r="A372" s="4">
        <v>1</v>
      </c>
      <c r="B372" s="5" t="s">
        <v>464</v>
      </c>
      <c r="C372" s="6">
        <v>9699</v>
      </c>
      <c r="D372" s="7">
        <v>20</v>
      </c>
      <c r="E372">
        <v>1.2800000000000001E-2</v>
      </c>
      <c r="F372" s="1">
        <v>201</v>
      </c>
      <c r="G372" s="1" t="str">
        <f>VLOOKUP(F372,'Master(Ko Xóa)'!$F$2:$H$158,3,0)</f>
        <v>Out</v>
      </c>
      <c r="H372" s="6" t="s">
        <v>1107</v>
      </c>
      <c r="I372" s="6" t="s">
        <v>1111</v>
      </c>
    </row>
    <row r="373" spans="1:9">
      <c r="A373" s="4">
        <v>1</v>
      </c>
      <c r="B373" s="5" t="s">
        <v>465</v>
      </c>
      <c r="C373" s="6">
        <v>9699</v>
      </c>
      <c r="D373" s="7">
        <v>20</v>
      </c>
      <c r="E373">
        <v>1.5800000000000002E-2</v>
      </c>
      <c r="F373" s="1">
        <v>201</v>
      </c>
      <c r="G373" s="1" t="str">
        <f>VLOOKUP(F373,'Master(Ko Xóa)'!$F$2:$H$158,3,0)</f>
        <v>Out</v>
      </c>
      <c r="H373" s="6" t="s">
        <v>1107</v>
      </c>
      <c r="I373" s="6" t="s">
        <v>1111</v>
      </c>
    </row>
    <row r="374" spans="1:9">
      <c r="A374" s="4">
        <v>1</v>
      </c>
      <c r="B374" s="5" t="s">
        <v>466</v>
      </c>
      <c r="C374" s="6">
        <v>9699</v>
      </c>
      <c r="D374" s="7">
        <v>20</v>
      </c>
      <c r="E374">
        <v>2.5800000000000003E-2</v>
      </c>
      <c r="F374" s="1">
        <v>201</v>
      </c>
      <c r="G374" s="1" t="str">
        <f>VLOOKUP(F374,'Master(Ko Xóa)'!$F$2:$H$158,3,0)</f>
        <v>Out</v>
      </c>
      <c r="H374" s="6" t="s">
        <v>1107</v>
      </c>
      <c r="I374" s="6" t="s">
        <v>1111</v>
      </c>
    </row>
    <row r="375" spans="1:9">
      <c r="A375" s="4">
        <v>1</v>
      </c>
      <c r="B375" s="5" t="s">
        <v>467</v>
      </c>
      <c r="C375" s="6">
        <v>9699</v>
      </c>
      <c r="D375" s="7">
        <v>20</v>
      </c>
      <c r="E375">
        <v>2.5800000000000003E-2</v>
      </c>
      <c r="F375" s="1">
        <v>201</v>
      </c>
      <c r="G375" s="1" t="str">
        <f>VLOOKUP(F375,'Master(Ko Xóa)'!$F$2:$H$158,3,0)</f>
        <v>Out</v>
      </c>
      <c r="H375" s="6" t="s">
        <v>1107</v>
      </c>
      <c r="I375" s="6" t="s">
        <v>1111</v>
      </c>
    </row>
    <row r="376" spans="1:9">
      <c r="A376" s="4">
        <v>1</v>
      </c>
      <c r="B376" s="5" t="s">
        <v>468</v>
      </c>
      <c r="C376" s="6">
        <v>9699</v>
      </c>
      <c r="D376" s="7">
        <v>20</v>
      </c>
      <c r="E376">
        <v>2.7200000000000002E-2</v>
      </c>
      <c r="F376" s="1">
        <v>201</v>
      </c>
      <c r="G376" s="1" t="str">
        <f>VLOOKUP(F376,'Master(Ko Xóa)'!$F$2:$H$158,3,0)</f>
        <v>Out</v>
      </c>
      <c r="H376" s="6" t="s">
        <v>1107</v>
      </c>
      <c r="I376" s="6" t="s">
        <v>1111</v>
      </c>
    </row>
    <row r="377" spans="1:9">
      <c r="A377" s="4">
        <v>1</v>
      </c>
      <c r="B377" s="5" t="s">
        <v>469</v>
      </c>
      <c r="C377" s="6">
        <v>9699</v>
      </c>
      <c r="D377" s="7">
        <v>20</v>
      </c>
      <c r="E377">
        <v>0.02</v>
      </c>
      <c r="F377" s="1">
        <v>201</v>
      </c>
      <c r="G377" s="1" t="str">
        <f>VLOOKUP(F377,'Master(Ko Xóa)'!$F$2:$H$158,3,0)</f>
        <v>Out</v>
      </c>
      <c r="H377" s="6" t="s">
        <v>1107</v>
      </c>
      <c r="I377" s="6" t="s">
        <v>1111</v>
      </c>
    </row>
    <row r="378" spans="1:9">
      <c r="A378" s="4">
        <v>1</v>
      </c>
      <c r="B378" s="5" t="s">
        <v>470</v>
      </c>
      <c r="C378" s="6">
        <v>9699</v>
      </c>
      <c r="D378" s="7">
        <v>20</v>
      </c>
      <c r="E378">
        <v>1.5800000000000002E-2</v>
      </c>
      <c r="F378" s="1">
        <v>201</v>
      </c>
      <c r="G378" s="1" t="str">
        <f>VLOOKUP(F378,'Master(Ko Xóa)'!$F$2:$H$158,3,0)</f>
        <v>Out</v>
      </c>
      <c r="H378" s="6" t="s">
        <v>1107</v>
      </c>
      <c r="I378" s="6" t="s">
        <v>1111</v>
      </c>
    </row>
    <row r="379" spans="1:9">
      <c r="A379" s="4">
        <v>1</v>
      </c>
      <c r="B379" s="5" t="s">
        <v>471</v>
      </c>
      <c r="C379" s="6">
        <v>9699</v>
      </c>
      <c r="D379" s="7">
        <v>20</v>
      </c>
      <c r="E379">
        <v>2.4199999999999999E-2</v>
      </c>
      <c r="F379" s="1">
        <v>201</v>
      </c>
      <c r="G379" s="1" t="str">
        <f>VLOOKUP(F379,'Master(Ko Xóa)'!$F$2:$H$158,3,0)</f>
        <v>Out</v>
      </c>
      <c r="H379" s="6" t="s">
        <v>1107</v>
      </c>
      <c r="I379" s="6" t="s">
        <v>1111</v>
      </c>
    </row>
    <row r="380" spans="1:9">
      <c r="A380" s="4">
        <v>1</v>
      </c>
      <c r="B380" s="5" t="s">
        <v>472</v>
      </c>
      <c r="C380" s="6">
        <v>9699</v>
      </c>
      <c r="D380" s="7">
        <v>20</v>
      </c>
      <c r="E380">
        <v>0.02</v>
      </c>
      <c r="F380" s="1">
        <v>201</v>
      </c>
      <c r="G380" s="1" t="str">
        <f>VLOOKUP(F380,'Master(Ko Xóa)'!$F$2:$H$158,3,0)</f>
        <v>Out</v>
      </c>
      <c r="H380" s="6" t="s">
        <v>1107</v>
      </c>
      <c r="I380" s="6" t="s">
        <v>1111</v>
      </c>
    </row>
    <row r="381" spans="1:9">
      <c r="A381" s="4">
        <v>1</v>
      </c>
      <c r="B381" s="5" t="s">
        <v>473</v>
      </c>
      <c r="C381" s="6">
        <v>9699</v>
      </c>
      <c r="D381" s="7">
        <v>20</v>
      </c>
      <c r="E381">
        <v>0.02</v>
      </c>
      <c r="F381" s="1">
        <v>201</v>
      </c>
      <c r="G381" s="1" t="str">
        <f>VLOOKUP(F381,'Master(Ko Xóa)'!$F$2:$H$158,3,0)</f>
        <v>Out</v>
      </c>
      <c r="H381" s="6" t="s">
        <v>1107</v>
      </c>
      <c r="I381" s="6" t="s">
        <v>1111</v>
      </c>
    </row>
    <row r="382" spans="1:9">
      <c r="A382" s="4">
        <v>1</v>
      </c>
      <c r="B382" s="5" t="s">
        <v>474</v>
      </c>
      <c r="C382" s="6">
        <v>9699</v>
      </c>
      <c r="D382" s="7">
        <v>20</v>
      </c>
      <c r="E382">
        <v>1.8600000000000002E-2</v>
      </c>
      <c r="F382" s="1">
        <v>201</v>
      </c>
      <c r="G382" s="1" t="str">
        <f>VLOOKUP(F382,'Master(Ko Xóa)'!$F$2:$H$158,3,0)</f>
        <v>Out</v>
      </c>
      <c r="H382" s="6" t="s">
        <v>1107</v>
      </c>
      <c r="I382" s="6" t="s">
        <v>1111</v>
      </c>
    </row>
    <row r="383" spans="1:9">
      <c r="A383" s="4">
        <v>1</v>
      </c>
      <c r="B383" s="5" t="s">
        <v>475</v>
      </c>
      <c r="C383" s="6">
        <v>9699</v>
      </c>
      <c r="D383" s="7">
        <v>1</v>
      </c>
      <c r="E383">
        <v>4.6789999999999998E-2</v>
      </c>
      <c r="F383" s="1">
        <v>201</v>
      </c>
      <c r="G383" s="1" t="str">
        <f>VLOOKUP(F383,'Master(Ko Xóa)'!$F$2:$H$158,3,0)</f>
        <v>Out</v>
      </c>
      <c r="H383" s="6" t="s">
        <v>1107</v>
      </c>
      <c r="I383" s="6" t="s">
        <v>1111</v>
      </c>
    </row>
    <row r="384" spans="1:9">
      <c r="A384" s="4">
        <v>1</v>
      </c>
      <c r="B384" s="5" t="s">
        <v>476</v>
      </c>
      <c r="C384" s="6">
        <v>9699</v>
      </c>
      <c r="D384" s="7">
        <v>1</v>
      </c>
      <c r="E384">
        <v>0.58984000000000003</v>
      </c>
      <c r="F384" s="1">
        <v>201</v>
      </c>
      <c r="G384" s="1" t="str">
        <f>VLOOKUP(F384,'Master(Ko Xóa)'!$F$2:$H$158,3,0)</f>
        <v>Out</v>
      </c>
      <c r="H384" s="6" t="s">
        <v>1107</v>
      </c>
      <c r="I384" s="6" t="s">
        <v>1111</v>
      </c>
    </row>
    <row r="385" spans="1:9">
      <c r="A385" s="4">
        <v>1</v>
      </c>
      <c r="B385" s="5" t="s">
        <v>477</v>
      </c>
      <c r="C385" s="6">
        <v>9699</v>
      </c>
      <c r="D385" s="7">
        <v>1</v>
      </c>
      <c r="E385">
        <v>5.1340000000000004E-2</v>
      </c>
      <c r="F385" s="1">
        <v>201</v>
      </c>
      <c r="G385" s="1" t="str">
        <f>VLOOKUP(F385,'Master(Ko Xóa)'!$F$2:$H$158,3,0)</f>
        <v>Out</v>
      </c>
      <c r="H385" s="6" t="s">
        <v>1107</v>
      </c>
      <c r="I385" s="6" t="s">
        <v>1111</v>
      </c>
    </row>
    <row r="386" spans="1:9">
      <c r="A386" s="4">
        <v>1</v>
      </c>
      <c r="B386" s="5" t="s">
        <v>478</v>
      </c>
      <c r="C386" s="6">
        <v>9699</v>
      </c>
      <c r="D386" s="7">
        <v>5</v>
      </c>
      <c r="E386">
        <v>0.93069999999999997</v>
      </c>
      <c r="F386" s="1">
        <v>201</v>
      </c>
      <c r="G386" s="1" t="str">
        <f>VLOOKUP(F386,'Master(Ko Xóa)'!$F$2:$H$158,3,0)</f>
        <v>Out</v>
      </c>
      <c r="H386" s="6" t="s">
        <v>1107</v>
      </c>
      <c r="I386" s="6" t="s">
        <v>1111</v>
      </c>
    </row>
    <row r="387" spans="1:9">
      <c r="A387" s="4">
        <v>1</v>
      </c>
      <c r="B387" s="5" t="s">
        <v>479</v>
      </c>
      <c r="C387" s="6">
        <v>9699</v>
      </c>
      <c r="D387" s="7">
        <v>1</v>
      </c>
      <c r="E387">
        <v>4.829E-2</v>
      </c>
      <c r="F387" s="1">
        <v>201</v>
      </c>
      <c r="G387" s="1" t="str">
        <f>VLOOKUP(F387,'Master(Ko Xóa)'!$F$2:$H$158,3,0)</f>
        <v>Out</v>
      </c>
      <c r="H387" s="6" t="s">
        <v>1107</v>
      </c>
      <c r="I387" s="6" t="s">
        <v>1111</v>
      </c>
    </row>
    <row r="388" spans="1:9">
      <c r="A388" s="4">
        <v>1</v>
      </c>
      <c r="B388" s="5" t="s">
        <v>480</v>
      </c>
      <c r="C388" s="6">
        <v>9699</v>
      </c>
      <c r="D388" s="7">
        <v>5</v>
      </c>
      <c r="E388">
        <v>0.1018</v>
      </c>
      <c r="F388" s="1">
        <v>201</v>
      </c>
      <c r="G388" s="1" t="str">
        <f>VLOOKUP(F388,'Master(Ko Xóa)'!$F$2:$H$158,3,0)</f>
        <v>Out</v>
      </c>
      <c r="H388" s="6" t="s">
        <v>1107</v>
      </c>
      <c r="I388" s="6" t="s">
        <v>1111</v>
      </c>
    </row>
    <row r="389" spans="1:9">
      <c r="A389" s="4">
        <v>1</v>
      </c>
      <c r="B389" s="5" t="s">
        <v>481</v>
      </c>
      <c r="C389" s="6">
        <v>9699</v>
      </c>
      <c r="D389" s="7">
        <v>20</v>
      </c>
      <c r="E389">
        <v>4.1399999999999992E-2</v>
      </c>
      <c r="F389" s="1">
        <v>201</v>
      </c>
      <c r="G389" s="1" t="str">
        <f>VLOOKUP(F389,'Master(Ko Xóa)'!$F$2:$H$158,3,0)</f>
        <v>Out</v>
      </c>
      <c r="H389" s="6" t="s">
        <v>1107</v>
      </c>
      <c r="I389" s="6" t="s">
        <v>1111</v>
      </c>
    </row>
    <row r="390" spans="1:9">
      <c r="A390" s="4">
        <v>1</v>
      </c>
      <c r="B390" s="5" t="s">
        <v>482</v>
      </c>
      <c r="C390" s="6">
        <v>9699</v>
      </c>
      <c r="D390" s="7">
        <v>5</v>
      </c>
      <c r="E390">
        <v>0.31170000000000003</v>
      </c>
      <c r="F390" s="1">
        <v>201</v>
      </c>
      <c r="G390" s="1" t="str">
        <f>VLOOKUP(F390,'Master(Ko Xóa)'!$F$2:$H$158,3,0)</f>
        <v>Out</v>
      </c>
      <c r="H390" s="6" t="s">
        <v>1107</v>
      </c>
      <c r="I390" s="6" t="s">
        <v>1111</v>
      </c>
    </row>
    <row r="391" spans="1:9">
      <c r="A391" s="4">
        <v>1</v>
      </c>
      <c r="B391" s="5" t="s">
        <v>483</v>
      </c>
      <c r="C391" s="6">
        <v>9699</v>
      </c>
      <c r="D391" s="7">
        <v>20</v>
      </c>
      <c r="E391">
        <v>4.1399999999999992E-2</v>
      </c>
      <c r="F391" s="1">
        <v>201</v>
      </c>
      <c r="G391" s="1" t="str">
        <f>VLOOKUP(F391,'Master(Ko Xóa)'!$F$2:$H$158,3,0)</f>
        <v>Out</v>
      </c>
      <c r="H391" s="6" t="s">
        <v>1107</v>
      </c>
      <c r="I391" s="6" t="s">
        <v>1111</v>
      </c>
    </row>
    <row r="392" spans="1:9">
      <c r="A392" s="4">
        <v>1</v>
      </c>
      <c r="B392" s="5" t="s">
        <v>484</v>
      </c>
      <c r="C392" s="6">
        <v>9699</v>
      </c>
      <c r="D392" s="7">
        <v>20</v>
      </c>
      <c r="E392">
        <v>4.1399999999999992E-2</v>
      </c>
      <c r="F392" s="1">
        <v>201</v>
      </c>
      <c r="G392" s="1" t="str">
        <f>VLOOKUP(F392,'Master(Ko Xóa)'!$F$2:$H$158,3,0)</f>
        <v>Out</v>
      </c>
      <c r="H392" s="6" t="s">
        <v>1107</v>
      </c>
      <c r="I392" s="6" t="s">
        <v>1111</v>
      </c>
    </row>
    <row r="393" spans="1:9">
      <c r="A393" s="4">
        <v>1</v>
      </c>
      <c r="B393" s="5" t="s">
        <v>485</v>
      </c>
      <c r="C393" s="6">
        <v>9699</v>
      </c>
      <c r="D393" s="7">
        <v>20</v>
      </c>
      <c r="E393">
        <v>4.4200000000000003E-2</v>
      </c>
      <c r="F393" s="1">
        <v>201</v>
      </c>
      <c r="G393" s="1" t="str">
        <f>VLOOKUP(F393,'Master(Ko Xóa)'!$F$2:$H$158,3,0)</f>
        <v>Out</v>
      </c>
      <c r="H393" s="6" t="s">
        <v>1107</v>
      </c>
      <c r="I393" s="6" t="s">
        <v>1111</v>
      </c>
    </row>
    <row r="394" spans="1:9">
      <c r="A394" s="4">
        <v>1</v>
      </c>
      <c r="B394" s="5" t="s">
        <v>486</v>
      </c>
      <c r="C394" s="6">
        <v>9699</v>
      </c>
      <c r="D394" s="7">
        <v>20</v>
      </c>
      <c r="E394">
        <v>3.2799999999999996E-2</v>
      </c>
      <c r="F394" s="1">
        <v>201</v>
      </c>
      <c r="G394" s="1" t="str">
        <f>VLOOKUP(F394,'Master(Ko Xóa)'!$F$2:$H$158,3,0)</f>
        <v>Out</v>
      </c>
      <c r="H394" s="6" t="s">
        <v>1107</v>
      </c>
      <c r="I394" s="6" t="s">
        <v>1111</v>
      </c>
    </row>
    <row r="395" spans="1:9">
      <c r="A395" s="4">
        <v>1</v>
      </c>
      <c r="B395" s="5" t="s">
        <v>487</v>
      </c>
      <c r="C395" s="6">
        <v>9699</v>
      </c>
      <c r="D395" s="7">
        <v>5</v>
      </c>
      <c r="E395">
        <v>0.36465000000000003</v>
      </c>
      <c r="F395" s="1">
        <v>201</v>
      </c>
      <c r="G395" s="1" t="str">
        <f>VLOOKUP(F395,'Master(Ko Xóa)'!$F$2:$H$158,3,0)</f>
        <v>Out</v>
      </c>
      <c r="H395" s="6" t="s">
        <v>1107</v>
      </c>
      <c r="I395" s="6" t="s">
        <v>1111</v>
      </c>
    </row>
    <row r="396" spans="1:9">
      <c r="A396" s="4">
        <v>1</v>
      </c>
      <c r="B396" s="5" t="s">
        <v>488</v>
      </c>
      <c r="C396" s="6">
        <v>9699</v>
      </c>
      <c r="D396" s="7">
        <v>20</v>
      </c>
      <c r="E396">
        <v>4.1399999999999992E-2</v>
      </c>
      <c r="F396" s="1">
        <v>201</v>
      </c>
      <c r="G396" s="1" t="str">
        <f>VLOOKUP(F396,'Master(Ko Xóa)'!$F$2:$H$158,3,0)</f>
        <v>Out</v>
      </c>
      <c r="H396" s="6" t="s">
        <v>1107</v>
      </c>
      <c r="I396" s="6" t="s">
        <v>1111</v>
      </c>
    </row>
    <row r="397" spans="1:9">
      <c r="A397" s="4">
        <v>1</v>
      </c>
      <c r="B397" s="5" t="s">
        <v>489</v>
      </c>
      <c r="C397" s="6">
        <v>9699</v>
      </c>
      <c r="D397" s="7">
        <v>1</v>
      </c>
      <c r="E397">
        <v>0.91359999999999997</v>
      </c>
      <c r="F397" s="1">
        <v>201</v>
      </c>
      <c r="G397" s="1" t="str">
        <f>VLOOKUP(F397,'Master(Ko Xóa)'!$F$2:$H$158,3,0)</f>
        <v>Out</v>
      </c>
      <c r="H397" s="6" t="s">
        <v>1107</v>
      </c>
      <c r="I397" s="6" t="s">
        <v>1111</v>
      </c>
    </row>
    <row r="398" spans="1:9">
      <c r="A398" s="4">
        <v>1</v>
      </c>
      <c r="B398" s="5" t="s">
        <v>490</v>
      </c>
      <c r="C398" s="6">
        <v>9699</v>
      </c>
      <c r="D398" s="7">
        <v>5</v>
      </c>
      <c r="E398">
        <v>1.1550499999999999</v>
      </c>
      <c r="F398" s="1">
        <v>201</v>
      </c>
      <c r="G398" s="1" t="str">
        <f>VLOOKUP(F398,'Master(Ko Xóa)'!$F$2:$H$158,3,0)</f>
        <v>Out</v>
      </c>
      <c r="H398" s="6" t="s">
        <v>1107</v>
      </c>
      <c r="I398" s="6" t="s">
        <v>1111</v>
      </c>
    </row>
    <row r="399" spans="1:9">
      <c r="A399" s="4">
        <v>1</v>
      </c>
      <c r="B399" s="5" t="s">
        <v>491</v>
      </c>
      <c r="C399" s="6">
        <v>9699</v>
      </c>
      <c r="D399" s="7">
        <v>5</v>
      </c>
      <c r="E399">
        <v>0.55000000000000004</v>
      </c>
      <c r="F399" s="1">
        <v>201</v>
      </c>
      <c r="G399" s="1" t="str">
        <f>VLOOKUP(F399,'Master(Ko Xóa)'!$F$2:$H$158,3,0)</f>
        <v>Out</v>
      </c>
      <c r="H399" s="6" t="s">
        <v>1107</v>
      </c>
      <c r="I399" s="6" t="s">
        <v>1111</v>
      </c>
    </row>
    <row r="400" spans="1:9">
      <c r="A400" s="4">
        <v>1</v>
      </c>
      <c r="B400" s="5" t="s">
        <v>492</v>
      </c>
      <c r="C400" s="6">
        <v>9699</v>
      </c>
      <c r="D400" s="7">
        <v>5</v>
      </c>
      <c r="E400">
        <v>0.25819999999999999</v>
      </c>
      <c r="F400" s="1">
        <v>201</v>
      </c>
      <c r="G400" s="1" t="str">
        <f>VLOOKUP(F400,'Master(Ko Xóa)'!$F$2:$H$158,3,0)</f>
        <v>Out</v>
      </c>
      <c r="H400" s="6" t="s">
        <v>1107</v>
      </c>
      <c r="I400" s="6" t="s">
        <v>1111</v>
      </c>
    </row>
    <row r="401" spans="1:9">
      <c r="A401" s="4">
        <v>1</v>
      </c>
      <c r="B401" s="5" t="s">
        <v>493</v>
      </c>
      <c r="C401" s="6">
        <v>9699</v>
      </c>
      <c r="D401" s="7">
        <v>20</v>
      </c>
      <c r="E401">
        <v>2.2800000000000001E-2</v>
      </c>
      <c r="F401" s="1">
        <v>201</v>
      </c>
      <c r="G401" s="1" t="str">
        <f>VLOOKUP(F401,'Master(Ko Xóa)'!$F$2:$H$158,3,0)</f>
        <v>Out</v>
      </c>
      <c r="H401" s="6" t="s">
        <v>1107</v>
      </c>
      <c r="I401" s="6" t="s">
        <v>1111</v>
      </c>
    </row>
    <row r="402" spans="1:9">
      <c r="A402" s="4">
        <v>1</v>
      </c>
      <c r="B402" s="5" t="s">
        <v>494</v>
      </c>
      <c r="C402" s="6">
        <v>9699</v>
      </c>
      <c r="D402" s="7">
        <v>10</v>
      </c>
      <c r="E402">
        <v>2.7100000000000003E-2</v>
      </c>
      <c r="F402" s="1">
        <v>201</v>
      </c>
      <c r="G402" s="1" t="str">
        <f>VLOOKUP(F402,'Master(Ko Xóa)'!$F$2:$H$158,3,0)</f>
        <v>Out</v>
      </c>
      <c r="H402" s="6" t="s">
        <v>1107</v>
      </c>
      <c r="I402" s="6" t="s">
        <v>1111</v>
      </c>
    </row>
    <row r="403" spans="1:9">
      <c r="A403" s="4">
        <v>1</v>
      </c>
      <c r="B403" s="5" t="s">
        <v>495</v>
      </c>
      <c r="C403" s="6">
        <v>9699</v>
      </c>
      <c r="D403" s="7">
        <v>2</v>
      </c>
      <c r="E403">
        <v>0.29160000000000003</v>
      </c>
      <c r="F403" s="1">
        <v>201</v>
      </c>
      <c r="G403" s="1" t="str">
        <f>VLOOKUP(F403,'Master(Ko Xóa)'!$F$2:$H$158,3,0)</f>
        <v>Out</v>
      </c>
      <c r="H403" s="6" t="s">
        <v>1107</v>
      </c>
      <c r="I403" s="6" t="s">
        <v>1111</v>
      </c>
    </row>
    <row r="404" spans="1:9">
      <c r="A404" s="4">
        <v>1</v>
      </c>
      <c r="B404" s="5" t="s">
        <v>496</v>
      </c>
      <c r="C404" s="6">
        <v>9699</v>
      </c>
      <c r="D404" s="7">
        <v>1</v>
      </c>
      <c r="E404">
        <v>0.39935999999999999</v>
      </c>
      <c r="F404" s="1">
        <v>201</v>
      </c>
      <c r="G404" s="1" t="str">
        <f>VLOOKUP(F404,'Master(Ko Xóa)'!$F$2:$H$158,3,0)</f>
        <v>Out</v>
      </c>
      <c r="H404" s="6" t="s">
        <v>1107</v>
      </c>
      <c r="I404" s="6" t="s">
        <v>1111</v>
      </c>
    </row>
    <row r="405" spans="1:9">
      <c r="A405" s="4">
        <v>1</v>
      </c>
      <c r="B405" s="5" t="s">
        <v>497</v>
      </c>
      <c r="C405" s="6">
        <v>9699</v>
      </c>
      <c r="D405" s="7">
        <v>1</v>
      </c>
      <c r="E405">
        <v>0.26129000000000002</v>
      </c>
      <c r="F405" s="1">
        <v>201</v>
      </c>
      <c r="G405" s="1" t="str">
        <f>VLOOKUP(F405,'Master(Ko Xóa)'!$F$2:$H$158,3,0)</f>
        <v>Out</v>
      </c>
      <c r="H405" s="6" t="s">
        <v>1107</v>
      </c>
      <c r="I405" s="6" t="s">
        <v>1111</v>
      </c>
    </row>
    <row r="406" spans="1:9">
      <c r="A406" s="4">
        <v>1</v>
      </c>
      <c r="B406" s="5" t="s">
        <v>498</v>
      </c>
      <c r="C406" s="6">
        <v>9699</v>
      </c>
      <c r="D406" s="7">
        <v>1</v>
      </c>
      <c r="E406">
        <v>0.56413999999999997</v>
      </c>
      <c r="F406" s="1">
        <v>201</v>
      </c>
      <c r="G406" s="1" t="str">
        <f>VLOOKUP(F406,'Master(Ko Xóa)'!$F$2:$H$158,3,0)</f>
        <v>Out</v>
      </c>
      <c r="H406" s="6" t="s">
        <v>1107</v>
      </c>
      <c r="I406" s="6" t="s">
        <v>1111</v>
      </c>
    </row>
    <row r="407" spans="1:9">
      <c r="A407" s="4">
        <v>1</v>
      </c>
      <c r="B407" s="5" t="s">
        <v>499</v>
      </c>
      <c r="C407" s="6">
        <v>9699</v>
      </c>
      <c r="D407" s="7">
        <v>2</v>
      </c>
      <c r="E407">
        <v>0.2858</v>
      </c>
      <c r="F407" s="1">
        <v>201</v>
      </c>
      <c r="G407" s="1" t="str">
        <f>VLOOKUP(F407,'Master(Ko Xóa)'!$F$2:$H$158,3,0)</f>
        <v>Out</v>
      </c>
      <c r="H407" s="6" t="s">
        <v>1107</v>
      </c>
      <c r="I407" s="6" t="s">
        <v>1111</v>
      </c>
    </row>
    <row r="408" spans="1:9">
      <c r="A408" s="4">
        <v>1</v>
      </c>
      <c r="B408" s="5" t="s">
        <v>500</v>
      </c>
      <c r="C408" s="6">
        <v>9699</v>
      </c>
      <c r="D408" s="7">
        <v>1</v>
      </c>
      <c r="E408">
        <v>7.6200000000000004E-2</v>
      </c>
      <c r="F408" s="1">
        <v>201</v>
      </c>
      <c r="G408" s="1" t="str">
        <f>VLOOKUP(F408,'Master(Ko Xóa)'!$F$2:$H$158,3,0)</f>
        <v>Out</v>
      </c>
      <c r="H408" s="6" t="s">
        <v>1107</v>
      </c>
      <c r="I408" s="6" t="s">
        <v>1111</v>
      </c>
    </row>
    <row r="409" spans="1:9">
      <c r="A409" s="4">
        <v>1</v>
      </c>
      <c r="B409" s="5" t="s">
        <v>501</v>
      </c>
      <c r="C409" s="6">
        <v>9699</v>
      </c>
      <c r="D409" s="7">
        <v>2</v>
      </c>
      <c r="E409">
        <v>0.17599999999999999</v>
      </c>
      <c r="F409" s="1">
        <v>201</v>
      </c>
      <c r="G409" s="1" t="str">
        <f>VLOOKUP(F409,'Master(Ko Xóa)'!$F$2:$H$158,3,0)</f>
        <v>Out</v>
      </c>
      <c r="H409" s="6" t="s">
        <v>1107</v>
      </c>
      <c r="I409" s="6" t="s">
        <v>1111</v>
      </c>
    </row>
    <row r="410" spans="1:9">
      <c r="A410" s="4">
        <v>1</v>
      </c>
      <c r="B410" s="5" t="s">
        <v>502</v>
      </c>
      <c r="C410" s="6">
        <v>9699</v>
      </c>
      <c r="D410" s="7">
        <v>1</v>
      </c>
      <c r="E410">
        <v>0.22000999999999998</v>
      </c>
      <c r="F410" s="1">
        <v>201</v>
      </c>
      <c r="G410" s="1" t="str">
        <f>VLOOKUP(F410,'Master(Ko Xóa)'!$F$2:$H$158,3,0)</f>
        <v>Out</v>
      </c>
      <c r="H410" s="6" t="s">
        <v>1107</v>
      </c>
      <c r="I410" s="6" t="s">
        <v>1111</v>
      </c>
    </row>
    <row r="411" spans="1:9">
      <c r="A411" s="4">
        <v>1</v>
      </c>
      <c r="B411" s="5" t="s">
        <v>503</v>
      </c>
      <c r="C411" s="6">
        <v>9699</v>
      </c>
      <c r="D411" s="7">
        <v>1</v>
      </c>
      <c r="E411">
        <v>0.46200000000000002</v>
      </c>
      <c r="F411" s="1">
        <v>201</v>
      </c>
      <c r="G411" s="1" t="str">
        <f>VLOOKUP(F411,'Master(Ko Xóa)'!$F$2:$H$158,3,0)</f>
        <v>Out</v>
      </c>
      <c r="H411" s="6" t="s">
        <v>1107</v>
      </c>
      <c r="I411" s="6" t="s">
        <v>1111</v>
      </c>
    </row>
    <row r="412" spans="1:9">
      <c r="A412" s="4">
        <v>1</v>
      </c>
      <c r="B412" s="5" t="s">
        <v>504</v>
      </c>
      <c r="C412" s="6">
        <v>9699</v>
      </c>
      <c r="D412" s="7">
        <v>2</v>
      </c>
      <c r="E412">
        <v>7.6719999999999997E-2</v>
      </c>
      <c r="F412" s="1">
        <v>201</v>
      </c>
      <c r="G412" s="1" t="str">
        <f>VLOOKUP(F412,'Master(Ko Xóa)'!$F$2:$H$158,3,0)</f>
        <v>Out</v>
      </c>
      <c r="H412" s="6" t="s">
        <v>1107</v>
      </c>
      <c r="I412" s="6" t="s">
        <v>1111</v>
      </c>
    </row>
    <row r="413" spans="1:9">
      <c r="A413" s="4">
        <v>1</v>
      </c>
      <c r="B413" s="5" t="s">
        <v>505</v>
      </c>
      <c r="C413" s="6">
        <v>9699</v>
      </c>
      <c r="D413" s="7">
        <v>2</v>
      </c>
      <c r="E413">
        <v>9.4900000000000012E-2</v>
      </c>
      <c r="F413" s="1">
        <v>201</v>
      </c>
      <c r="G413" s="1" t="str">
        <f>VLOOKUP(F413,'Master(Ko Xóa)'!$F$2:$H$158,3,0)</f>
        <v>Out</v>
      </c>
      <c r="H413" s="6" t="s">
        <v>1107</v>
      </c>
      <c r="I413" s="6" t="s">
        <v>1111</v>
      </c>
    </row>
    <row r="414" spans="1:9">
      <c r="A414" s="4">
        <v>1</v>
      </c>
      <c r="B414" s="5" t="s">
        <v>506</v>
      </c>
      <c r="C414" s="6">
        <v>9699</v>
      </c>
      <c r="D414" s="7">
        <v>1</v>
      </c>
      <c r="E414">
        <v>6.3659999999999994E-2</v>
      </c>
      <c r="F414" s="1">
        <v>201</v>
      </c>
      <c r="G414" s="1" t="str">
        <f>VLOOKUP(F414,'Master(Ko Xóa)'!$F$2:$H$158,3,0)</f>
        <v>Out</v>
      </c>
      <c r="H414" s="6" t="s">
        <v>1107</v>
      </c>
      <c r="I414" s="6" t="s">
        <v>1111</v>
      </c>
    </row>
    <row r="415" spans="1:9">
      <c r="A415" s="4">
        <v>1</v>
      </c>
      <c r="B415" s="5" t="s">
        <v>507</v>
      </c>
      <c r="C415" s="6">
        <v>9699</v>
      </c>
      <c r="D415" s="7">
        <v>1</v>
      </c>
      <c r="E415">
        <v>9.6799999999999997E-2</v>
      </c>
      <c r="F415" s="1">
        <v>201</v>
      </c>
      <c r="G415" s="1" t="str">
        <f>VLOOKUP(F415,'Master(Ko Xóa)'!$F$2:$H$158,3,0)</f>
        <v>Out</v>
      </c>
      <c r="H415" s="6" t="s">
        <v>1107</v>
      </c>
      <c r="I415" s="6" t="s">
        <v>1111</v>
      </c>
    </row>
    <row r="416" spans="1:9">
      <c r="A416" s="4">
        <v>1</v>
      </c>
      <c r="B416" s="5" t="s">
        <v>508</v>
      </c>
      <c r="C416" s="6">
        <v>9699</v>
      </c>
      <c r="D416" s="7">
        <v>1</v>
      </c>
      <c r="E416">
        <v>0.54271000000000003</v>
      </c>
      <c r="F416" s="1">
        <v>201</v>
      </c>
      <c r="G416" s="1" t="str">
        <f>VLOOKUP(F416,'Master(Ko Xóa)'!$F$2:$H$158,3,0)</f>
        <v>Out</v>
      </c>
      <c r="H416" s="6" t="s">
        <v>1107</v>
      </c>
      <c r="I416" s="6" t="s">
        <v>1111</v>
      </c>
    </row>
    <row r="417" spans="1:9">
      <c r="A417" s="4">
        <v>1</v>
      </c>
      <c r="B417" s="5" t="s">
        <v>509</v>
      </c>
      <c r="C417" s="6">
        <v>9699</v>
      </c>
      <c r="D417" s="7">
        <v>1</v>
      </c>
      <c r="E417">
        <v>0.82872000000000001</v>
      </c>
      <c r="F417" s="1">
        <v>201</v>
      </c>
      <c r="G417" s="1" t="str">
        <f>VLOOKUP(F417,'Master(Ko Xóa)'!$F$2:$H$158,3,0)</f>
        <v>Out</v>
      </c>
      <c r="H417" s="6" t="s">
        <v>1107</v>
      </c>
      <c r="I417" s="6" t="s">
        <v>1111</v>
      </c>
    </row>
    <row r="418" spans="1:9">
      <c r="A418" s="4">
        <v>1</v>
      </c>
      <c r="B418" s="5" t="s">
        <v>510</v>
      </c>
      <c r="C418" s="6">
        <v>9699</v>
      </c>
      <c r="D418" s="7">
        <v>1</v>
      </c>
      <c r="E418">
        <v>0.32048000000000004</v>
      </c>
      <c r="F418" s="1">
        <v>201</v>
      </c>
      <c r="G418" s="1" t="str">
        <f>VLOOKUP(F418,'Master(Ko Xóa)'!$F$2:$H$158,3,0)</f>
        <v>Out</v>
      </c>
      <c r="H418" s="6" t="s">
        <v>1107</v>
      </c>
      <c r="I418" s="6" t="s">
        <v>1111</v>
      </c>
    </row>
    <row r="419" spans="1:9">
      <c r="A419" s="4">
        <v>1</v>
      </c>
      <c r="B419" s="5" t="s">
        <v>511</v>
      </c>
      <c r="C419" s="6">
        <v>9699</v>
      </c>
      <c r="D419" s="7">
        <v>2</v>
      </c>
      <c r="E419">
        <v>0.35960000000000003</v>
      </c>
      <c r="F419" s="1">
        <v>201</v>
      </c>
      <c r="G419" s="1" t="str">
        <f>VLOOKUP(F419,'Master(Ko Xóa)'!$F$2:$H$158,3,0)</f>
        <v>Out</v>
      </c>
      <c r="H419" s="6" t="s">
        <v>1107</v>
      </c>
      <c r="I419" s="6" t="s">
        <v>1111</v>
      </c>
    </row>
    <row r="420" spans="1:9">
      <c r="A420" s="4">
        <v>1</v>
      </c>
      <c r="B420" s="5" t="s">
        <v>512</v>
      </c>
      <c r="C420" s="6">
        <v>9699</v>
      </c>
      <c r="D420" s="7">
        <v>1</v>
      </c>
      <c r="E420">
        <v>7.0430000000000006E-2</v>
      </c>
      <c r="F420" s="1">
        <v>201</v>
      </c>
      <c r="G420" s="1" t="str">
        <f>VLOOKUP(F420,'Master(Ko Xóa)'!$F$2:$H$158,3,0)</f>
        <v>Out</v>
      </c>
      <c r="H420" s="6" t="s">
        <v>1107</v>
      </c>
      <c r="I420" s="6" t="s">
        <v>1111</v>
      </c>
    </row>
    <row r="421" spans="1:9">
      <c r="A421" s="4">
        <v>1</v>
      </c>
      <c r="B421" s="5" t="s">
        <v>513</v>
      </c>
      <c r="C421" s="6">
        <v>9699</v>
      </c>
      <c r="D421" s="7">
        <v>20</v>
      </c>
      <c r="E421">
        <v>0.17020000000000002</v>
      </c>
      <c r="F421" s="1">
        <v>201</v>
      </c>
      <c r="G421" s="1" t="str">
        <f>VLOOKUP(F421,'Master(Ko Xóa)'!$F$2:$H$158,3,0)</f>
        <v>Out</v>
      </c>
      <c r="H421" s="6" t="s">
        <v>1107</v>
      </c>
      <c r="I421" s="6" t="s">
        <v>1111</v>
      </c>
    </row>
    <row r="422" spans="1:9">
      <c r="A422" s="4">
        <v>1</v>
      </c>
      <c r="B422" s="5" t="s">
        <v>514</v>
      </c>
      <c r="C422" s="6">
        <v>9699</v>
      </c>
      <c r="D422" s="7">
        <v>1</v>
      </c>
      <c r="E422">
        <v>4.6421400000000004</v>
      </c>
      <c r="F422" s="1">
        <v>201</v>
      </c>
      <c r="G422" s="1" t="str">
        <f>VLOOKUP(F422,'Master(Ko Xóa)'!$F$2:$H$158,3,0)</f>
        <v>Out</v>
      </c>
      <c r="H422" s="6" t="s">
        <v>1107</v>
      </c>
      <c r="I422" s="6" t="s">
        <v>1111</v>
      </c>
    </row>
    <row r="423" spans="1:9">
      <c r="A423" s="4">
        <v>1</v>
      </c>
      <c r="B423" s="5" t="s">
        <v>515</v>
      </c>
      <c r="C423" s="6">
        <v>9699</v>
      </c>
      <c r="D423" s="7">
        <v>1</v>
      </c>
      <c r="E423">
        <v>4.6421400000000004</v>
      </c>
      <c r="F423" s="1">
        <v>201</v>
      </c>
      <c r="G423" s="1" t="str">
        <f>VLOOKUP(F423,'Master(Ko Xóa)'!$F$2:$H$158,3,0)</f>
        <v>Out</v>
      </c>
      <c r="H423" s="6" t="s">
        <v>1107</v>
      </c>
      <c r="I423" s="6" t="s">
        <v>1111</v>
      </c>
    </row>
    <row r="424" spans="1:9">
      <c r="A424" s="4">
        <v>1</v>
      </c>
      <c r="B424" s="5" t="s">
        <v>516</v>
      </c>
      <c r="C424" s="6">
        <v>9699</v>
      </c>
      <c r="D424" s="7">
        <v>1</v>
      </c>
      <c r="E424">
        <v>0.70423999999999998</v>
      </c>
      <c r="F424" s="1">
        <v>201</v>
      </c>
      <c r="G424" s="1" t="str">
        <f>VLOOKUP(F424,'Master(Ko Xóa)'!$F$2:$H$158,3,0)</f>
        <v>Out</v>
      </c>
      <c r="H424" s="6" t="s">
        <v>1107</v>
      </c>
      <c r="I424" s="6" t="s">
        <v>1111</v>
      </c>
    </row>
    <row r="425" spans="1:9">
      <c r="A425" s="4">
        <v>1</v>
      </c>
      <c r="B425" s="5" t="s">
        <v>517</v>
      </c>
      <c r="C425" s="6">
        <v>9699</v>
      </c>
      <c r="D425" s="7">
        <v>1</v>
      </c>
      <c r="E425">
        <v>2.0207600000000001</v>
      </c>
      <c r="F425" s="1">
        <v>201</v>
      </c>
      <c r="G425" s="1" t="str">
        <f>VLOOKUP(F425,'Master(Ko Xóa)'!$F$2:$H$158,3,0)</f>
        <v>Out</v>
      </c>
      <c r="H425" s="6" t="s">
        <v>1107</v>
      </c>
      <c r="I425" s="6" t="s">
        <v>1111</v>
      </c>
    </row>
    <row r="426" spans="1:9">
      <c r="A426" s="4">
        <v>1</v>
      </c>
      <c r="B426" s="5" t="s">
        <v>518</v>
      </c>
      <c r="C426" s="6">
        <v>9699</v>
      </c>
      <c r="D426" s="7">
        <v>30</v>
      </c>
      <c r="E426">
        <v>3.3329999999999997</v>
      </c>
      <c r="F426" s="1">
        <v>201</v>
      </c>
      <c r="G426" s="1" t="str">
        <f>VLOOKUP(F426,'Master(Ko Xóa)'!$F$2:$H$158,3,0)</f>
        <v>Out</v>
      </c>
      <c r="H426" s="6" t="s">
        <v>1107</v>
      </c>
      <c r="I426" s="6" t="s">
        <v>1111</v>
      </c>
    </row>
    <row r="427" spans="1:9">
      <c r="A427" s="4">
        <v>1</v>
      </c>
      <c r="B427" s="5" t="s">
        <v>519</v>
      </c>
      <c r="C427" s="6">
        <v>9699</v>
      </c>
      <c r="D427" s="7">
        <v>1</v>
      </c>
      <c r="E427">
        <v>0.73335000000000006</v>
      </c>
      <c r="F427" s="1">
        <v>201</v>
      </c>
      <c r="G427" s="1" t="str">
        <f>VLOOKUP(F427,'Master(Ko Xóa)'!$F$2:$H$158,3,0)</f>
        <v>Out</v>
      </c>
      <c r="H427" s="6" t="s">
        <v>1107</v>
      </c>
      <c r="I427" s="6" t="s">
        <v>1111</v>
      </c>
    </row>
    <row r="428" spans="1:9">
      <c r="A428" s="4">
        <v>1</v>
      </c>
      <c r="B428" s="5" t="s">
        <v>520</v>
      </c>
      <c r="C428" s="6">
        <v>9699</v>
      </c>
      <c r="D428" s="7">
        <v>1</v>
      </c>
      <c r="E428">
        <v>2.0533899999999998</v>
      </c>
      <c r="F428" s="1">
        <v>201</v>
      </c>
      <c r="G428" s="1" t="str">
        <f>VLOOKUP(F428,'Master(Ko Xóa)'!$F$2:$H$158,3,0)</f>
        <v>Out</v>
      </c>
      <c r="H428" s="6" t="s">
        <v>1107</v>
      </c>
      <c r="I428" s="6" t="s">
        <v>1111</v>
      </c>
    </row>
    <row r="429" spans="1:9">
      <c r="A429" s="4">
        <v>1</v>
      </c>
      <c r="B429" s="5" t="s">
        <v>521</v>
      </c>
      <c r="C429" s="6">
        <v>9699</v>
      </c>
      <c r="D429" s="7">
        <v>1</v>
      </c>
      <c r="E429">
        <v>22.010999999999999</v>
      </c>
      <c r="F429" s="1">
        <v>201</v>
      </c>
      <c r="G429" s="1" t="str">
        <f>VLOOKUP(F429,'Master(Ko Xóa)'!$F$2:$H$158,3,0)</f>
        <v>Out</v>
      </c>
      <c r="H429" s="6" t="s">
        <v>1107</v>
      </c>
      <c r="I429" s="6" t="s">
        <v>1111</v>
      </c>
    </row>
    <row r="430" spans="1:9">
      <c r="A430" s="4">
        <v>1</v>
      </c>
      <c r="B430" s="5" t="s">
        <v>522</v>
      </c>
      <c r="C430" s="6">
        <v>9699</v>
      </c>
      <c r="D430" s="7">
        <v>2</v>
      </c>
      <c r="E430">
        <v>19.360520000000001</v>
      </c>
      <c r="F430" s="1">
        <v>201</v>
      </c>
      <c r="G430" s="1" t="str">
        <f>VLOOKUP(F430,'Master(Ko Xóa)'!$F$2:$H$158,3,0)</f>
        <v>Out</v>
      </c>
      <c r="H430" s="6" t="s">
        <v>1107</v>
      </c>
      <c r="I430" s="6" t="s">
        <v>1111</v>
      </c>
    </row>
    <row r="431" spans="1:9">
      <c r="A431" s="4">
        <v>1</v>
      </c>
      <c r="B431" s="5" t="s">
        <v>523</v>
      </c>
      <c r="C431" s="6">
        <v>9699</v>
      </c>
      <c r="D431" s="7">
        <v>1</v>
      </c>
      <c r="E431">
        <v>0.42060000000000003</v>
      </c>
      <c r="F431" s="1">
        <v>201</v>
      </c>
      <c r="G431" s="1" t="str">
        <f>VLOOKUP(F431,'Master(Ko Xóa)'!$F$2:$H$158,3,0)</f>
        <v>Out</v>
      </c>
      <c r="H431" s="6" t="s">
        <v>1107</v>
      </c>
      <c r="I431" s="6" t="s">
        <v>1111</v>
      </c>
    </row>
    <row r="432" spans="1:9">
      <c r="A432" s="4">
        <v>1</v>
      </c>
      <c r="B432" s="5" t="s">
        <v>524</v>
      </c>
      <c r="C432" s="6">
        <v>9699</v>
      </c>
      <c r="D432" s="7">
        <v>1</v>
      </c>
      <c r="E432">
        <v>6.7500000000000004E-2</v>
      </c>
      <c r="F432" s="1">
        <v>201</v>
      </c>
      <c r="G432" s="1" t="str">
        <f>VLOOKUP(F432,'Master(Ko Xóa)'!$F$2:$H$158,3,0)</f>
        <v>Out</v>
      </c>
      <c r="H432" s="6" t="s">
        <v>1107</v>
      </c>
      <c r="I432" s="6" t="s">
        <v>1111</v>
      </c>
    </row>
    <row r="433" spans="1:9">
      <c r="A433" s="4">
        <v>1</v>
      </c>
      <c r="B433" s="5" t="s">
        <v>525</v>
      </c>
      <c r="C433" s="6">
        <v>9699</v>
      </c>
      <c r="D433" s="7">
        <v>1</v>
      </c>
      <c r="E433">
        <v>0.14759999999999998</v>
      </c>
      <c r="F433" s="1">
        <v>201</v>
      </c>
      <c r="G433" s="1" t="str">
        <f>VLOOKUP(F433,'Master(Ko Xóa)'!$F$2:$H$158,3,0)</f>
        <v>Out</v>
      </c>
      <c r="H433" s="6" t="s">
        <v>1107</v>
      </c>
      <c r="I433" s="6" t="s">
        <v>1111</v>
      </c>
    </row>
    <row r="434" spans="1:9">
      <c r="A434" s="4">
        <v>1</v>
      </c>
      <c r="B434" s="5" t="s">
        <v>526</v>
      </c>
      <c r="C434" s="6">
        <v>9699</v>
      </c>
      <c r="D434" s="7">
        <v>2</v>
      </c>
      <c r="E434">
        <v>9.9277000000000015</v>
      </c>
      <c r="F434" s="1">
        <v>201</v>
      </c>
      <c r="G434" s="1" t="str">
        <f>VLOOKUP(F434,'Master(Ko Xóa)'!$F$2:$H$158,3,0)</f>
        <v>Out</v>
      </c>
      <c r="H434" s="6" t="s">
        <v>1107</v>
      </c>
      <c r="I434" s="6" t="s">
        <v>1111</v>
      </c>
    </row>
    <row r="435" spans="1:9">
      <c r="A435" s="4">
        <v>1</v>
      </c>
      <c r="B435" s="5" t="s">
        <v>527</v>
      </c>
      <c r="C435" s="6">
        <v>9699</v>
      </c>
      <c r="D435" s="7">
        <v>3</v>
      </c>
      <c r="E435">
        <v>14.891550000000002</v>
      </c>
      <c r="F435" s="1">
        <v>201</v>
      </c>
      <c r="G435" s="1" t="str">
        <f>VLOOKUP(F435,'Master(Ko Xóa)'!$F$2:$H$158,3,0)</f>
        <v>Out</v>
      </c>
      <c r="H435" s="6" t="s">
        <v>1107</v>
      </c>
      <c r="I435" s="6" t="s">
        <v>1111</v>
      </c>
    </row>
    <row r="436" spans="1:9">
      <c r="A436" s="4">
        <v>1</v>
      </c>
      <c r="B436" s="5" t="s">
        <v>528</v>
      </c>
      <c r="C436" s="6">
        <v>9699</v>
      </c>
      <c r="D436" s="7">
        <v>2</v>
      </c>
      <c r="E436">
        <v>1.9092</v>
      </c>
      <c r="F436" s="1">
        <v>201</v>
      </c>
      <c r="G436" s="1" t="str">
        <f>VLOOKUP(F436,'Master(Ko Xóa)'!$F$2:$H$158,3,0)</f>
        <v>Out</v>
      </c>
      <c r="H436" s="6" t="s">
        <v>1107</v>
      </c>
      <c r="I436" s="6" t="s">
        <v>1111</v>
      </c>
    </row>
    <row r="437" spans="1:9">
      <c r="A437" s="4">
        <v>1</v>
      </c>
      <c r="B437" s="5" t="s">
        <v>529</v>
      </c>
      <c r="C437" s="6">
        <v>9699</v>
      </c>
      <c r="D437" s="7">
        <v>2</v>
      </c>
      <c r="E437">
        <v>1.1007</v>
      </c>
      <c r="F437" s="1">
        <v>201</v>
      </c>
      <c r="G437" s="1" t="str">
        <f>VLOOKUP(F437,'Master(Ko Xóa)'!$F$2:$H$158,3,0)</f>
        <v>Out</v>
      </c>
      <c r="H437" s="6" t="s">
        <v>1107</v>
      </c>
      <c r="I437" s="6" t="s">
        <v>1111</v>
      </c>
    </row>
    <row r="438" spans="1:9">
      <c r="A438" s="4">
        <v>1</v>
      </c>
      <c r="B438" s="5" t="s">
        <v>530</v>
      </c>
      <c r="C438" s="6">
        <v>9699</v>
      </c>
      <c r="D438" s="7">
        <v>2</v>
      </c>
      <c r="E438">
        <v>2.7074000000000003</v>
      </c>
      <c r="F438" s="1">
        <v>201</v>
      </c>
      <c r="G438" s="1" t="str">
        <f>VLOOKUP(F438,'Master(Ko Xóa)'!$F$2:$H$158,3,0)</f>
        <v>Out</v>
      </c>
      <c r="H438" s="6" t="s">
        <v>1107</v>
      </c>
      <c r="I438" s="6" t="s">
        <v>1111</v>
      </c>
    </row>
    <row r="439" spans="1:9">
      <c r="A439" s="4">
        <v>1</v>
      </c>
      <c r="B439" s="5" t="s">
        <v>531</v>
      </c>
      <c r="C439" s="6">
        <v>9699</v>
      </c>
      <c r="D439" s="7">
        <v>2</v>
      </c>
      <c r="E439">
        <v>5.74</v>
      </c>
      <c r="F439" s="1">
        <v>201</v>
      </c>
      <c r="G439" s="1" t="str">
        <f>VLOOKUP(F439,'Master(Ko Xóa)'!$F$2:$H$158,3,0)</f>
        <v>Out</v>
      </c>
      <c r="H439" s="6" t="s">
        <v>1107</v>
      </c>
      <c r="I439" s="6" t="s">
        <v>1111</v>
      </c>
    </row>
    <row r="440" spans="1:9">
      <c r="A440" s="4">
        <v>1</v>
      </c>
      <c r="B440" s="5" t="s">
        <v>532</v>
      </c>
      <c r="C440" s="6">
        <v>9699</v>
      </c>
      <c r="D440" s="7">
        <v>2</v>
      </c>
      <c r="E440">
        <v>0.98239999999999994</v>
      </c>
      <c r="F440" s="1">
        <v>201</v>
      </c>
      <c r="G440" s="1" t="str">
        <f>VLOOKUP(F440,'Master(Ko Xóa)'!$F$2:$H$158,3,0)</f>
        <v>Out</v>
      </c>
      <c r="H440" s="6" t="s">
        <v>1107</v>
      </c>
      <c r="I440" s="6" t="s">
        <v>1111</v>
      </c>
    </row>
    <row r="441" spans="1:9">
      <c r="A441" s="4">
        <v>1</v>
      </c>
      <c r="B441" s="5" t="s">
        <v>533</v>
      </c>
      <c r="C441" s="6">
        <v>9699</v>
      </c>
      <c r="D441" s="7">
        <v>4</v>
      </c>
      <c r="E441">
        <v>2.77596</v>
      </c>
      <c r="F441" s="1">
        <v>201</v>
      </c>
      <c r="G441" s="1" t="str">
        <f>VLOOKUP(F441,'Master(Ko Xóa)'!$F$2:$H$158,3,0)</f>
        <v>Out</v>
      </c>
      <c r="H441" s="6" t="s">
        <v>1107</v>
      </c>
      <c r="I441" s="6" t="s">
        <v>1111</v>
      </c>
    </row>
    <row r="442" spans="1:9">
      <c r="A442" s="4">
        <v>1</v>
      </c>
      <c r="B442" s="5" t="s">
        <v>534</v>
      </c>
      <c r="C442" s="6">
        <v>9699</v>
      </c>
      <c r="D442" s="7">
        <v>1</v>
      </c>
      <c r="E442">
        <v>7.9930000000000001E-2</v>
      </c>
      <c r="F442" s="1">
        <v>201</v>
      </c>
      <c r="G442" s="1" t="str">
        <f>VLOOKUP(F442,'Master(Ko Xóa)'!$F$2:$H$158,3,0)</f>
        <v>Out</v>
      </c>
      <c r="H442" s="6" t="s">
        <v>1107</v>
      </c>
      <c r="I442" s="6" t="s">
        <v>1111</v>
      </c>
    </row>
    <row r="443" spans="1:9">
      <c r="A443" s="4">
        <v>1</v>
      </c>
      <c r="B443" s="5" t="s">
        <v>535</v>
      </c>
      <c r="C443" s="6">
        <v>9699</v>
      </c>
      <c r="D443" s="7">
        <v>2</v>
      </c>
      <c r="E443">
        <v>1.2578</v>
      </c>
      <c r="F443" s="1">
        <v>201</v>
      </c>
      <c r="G443" s="1" t="str">
        <f>VLOOKUP(F443,'Master(Ko Xóa)'!$F$2:$H$158,3,0)</f>
        <v>Out</v>
      </c>
      <c r="H443" s="6" t="s">
        <v>1107</v>
      </c>
      <c r="I443" s="6" t="s">
        <v>1111</v>
      </c>
    </row>
    <row r="444" spans="1:9">
      <c r="A444" s="4">
        <v>1</v>
      </c>
      <c r="B444" s="5" t="s">
        <v>536</v>
      </c>
      <c r="C444" s="6">
        <v>9699</v>
      </c>
      <c r="D444" s="7">
        <v>2</v>
      </c>
      <c r="E444">
        <v>2.5339999999999998</v>
      </c>
      <c r="F444" s="1">
        <v>201</v>
      </c>
      <c r="G444" s="1" t="str">
        <f>VLOOKUP(F444,'Master(Ko Xóa)'!$F$2:$H$158,3,0)</f>
        <v>Out</v>
      </c>
      <c r="H444" s="6" t="s">
        <v>1107</v>
      </c>
      <c r="I444" s="6" t="s">
        <v>1111</v>
      </c>
    </row>
    <row r="445" spans="1:9">
      <c r="A445" s="4">
        <v>1</v>
      </c>
      <c r="B445" s="5" t="s">
        <v>537</v>
      </c>
      <c r="C445" s="6">
        <v>9699</v>
      </c>
      <c r="D445" s="7">
        <v>1</v>
      </c>
      <c r="E445">
        <v>0.05</v>
      </c>
      <c r="F445" s="1">
        <v>201</v>
      </c>
      <c r="G445" s="1" t="str">
        <f>VLOOKUP(F445,'Master(Ko Xóa)'!$F$2:$H$158,3,0)</f>
        <v>Out</v>
      </c>
      <c r="H445" s="6" t="s">
        <v>1107</v>
      </c>
      <c r="I445" s="6" t="s">
        <v>1111</v>
      </c>
    </row>
    <row r="446" spans="1:9">
      <c r="A446" s="4">
        <v>1</v>
      </c>
      <c r="B446" s="5" t="s">
        <v>538</v>
      </c>
      <c r="C446" s="6">
        <v>9699</v>
      </c>
      <c r="D446" s="7">
        <v>2</v>
      </c>
      <c r="E446">
        <v>4.4000000000000003E-3</v>
      </c>
      <c r="F446" s="1">
        <v>201</v>
      </c>
      <c r="G446" s="1" t="str">
        <f>VLOOKUP(F446,'Master(Ko Xóa)'!$F$2:$H$158,3,0)</f>
        <v>Out</v>
      </c>
      <c r="H446" s="6" t="s">
        <v>1107</v>
      </c>
      <c r="I446" s="6" t="s">
        <v>1111</v>
      </c>
    </row>
    <row r="447" spans="1:9">
      <c r="A447" s="4">
        <v>1</v>
      </c>
      <c r="B447" s="5" t="s">
        <v>539</v>
      </c>
      <c r="C447" s="6">
        <v>9699</v>
      </c>
      <c r="D447" s="7">
        <v>1</v>
      </c>
      <c r="E447">
        <v>2.81E-3</v>
      </c>
      <c r="F447" s="1">
        <v>201</v>
      </c>
      <c r="G447" s="1" t="str">
        <f>VLOOKUP(F447,'Master(Ko Xóa)'!$F$2:$H$158,3,0)</f>
        <v>Out</v>
      </c>
      <c r="H447" s="6" t="s">
        <v>1107</v>
      </c>
      <c r="I447" s="6" t="s">
        <v>1111</v>
      </c>
    </row>
    <row r="448" spans="1:9">
      <c r="A448" s="4">
        <v>1</v>
      </c>
      <c r="B448" s="5" t="s">
        <v>540</v>
      </c>
      <c r="C448" s="6">
        <v>9699</v>
      </c>
      <c r="D448" s="7">
        <v>1</v>
      </c>
      <c r="E448">
        <v>0.04</v>
      </c>
      <c r="F448" s="1">
        <v>201</v>
      </c>
      <c r="G448" s="1" t="str">
        <f>VLOOKUP(F448,'Master(Ko Xóa)'!$F$2:$H$158,3,0)</f>
        <v>Out</v>
      </c>
      <c r="H448" s="6" t="s">
        <v>1107</v>
      </c>
      <c r="I448" s="6" t="s">
        <v>1111</v>
      </c>
    </row>
    <row r="449" spans="1:9">
      <c r="A449" s="4">
        <v>1</v>
      </c>
      <c r="B449" s="5" t="s">
        <v>541</v>
      </c>
      <c r="C449" s="6">
        <v>9699</v>
      </c>
      <c r="D449" s="7">
        <v>1</v>
      </c>
      <c r="E449">
        <v>0.18469999999999998</v>
      </c>
      <c r="F449" s="1">
        <v>201</v>
      </c>
      <c r="G449" s="1" t="str">
        <f>VLOOKUP(F449,'Master(Ko Xóa)'!$F$2:$H$158,3,0)</f>
        <v>Out</v>
      </c>
      <c r="H449" s="6" t="s">
        <v>1107</v>
      </c>
      <c r="I449" s="6" t="s">
        <v>1111</v>
      </c>
    </row>
    <row r="450" spans="1:9">
      <c r="A450" s="4">
        <v>1</v>
      </c>
      <c r="B450" s="5" t="s">
        <v>542</v>
      </c>
      <c r="C450" s="6">
        <v>9699</v>
      </c>
      <c r="D450" s="7">
        <v>2</v>
      </c>
      <c r="E450">
        <v>9.1999999999999998E-3</v>
      </c>
      <c r="F450" s="1">
        <v>201</v>
      </c>
      <c r="G450" s="1" t="str">
        <f>VLOOKUP(F450,'Master(Ko Xóa)'!$F$2:$H$158,3,0)</f>
        <v>Out</v>
      </c>
      <c r="H450" s="6" t="s">
        <v>1107</v>
      </c>
      <c r="I450" s="6" t="s">
        <v>1111</v>
      </c>
    </row>
    <row r="451" spans="1:9">
      <c r="A451" s="4">
        <v>1</v>
      </c>
      <c r="B451" s="5" t="s">
        <v>543</v>
      </c>
      <c r="C451" s="6">
        <v>9699</v>
      </c>
      <c r="D451" s="7">
        <v>1</v>
      </c>
      <c r="E451">
        <v>1.14E-2</v>
      </c>
      <c r="F451" s="1">
        <v>201</v>
      </c>
      <c r="G451" s="1" t="str">
        <f>VLOOKUP(F451,'Master(Ko Xóa)'!$F$2:$H$158,3,0)</f>
        <v>Out</v>
      </c>
      <c r="H451" s="6" t="s">
        <v>1107</v>
      </c>
      <c r="I451" s="6" t="s">
        <v>1111</v>
      </c>
    </row>
    <row r="452" spans="1:9">
      <c r="A452" s="4">
        <v>1</v>
      </c>
      <c r="B452" s="5" t="s">
        <v>544</v>
      </c>
      <c r="C452" s="6">
        <v>9699</v>
      </c>
      <c r="D452" s="7">
        <v>1</v>
      </c>
      <c r="E452">
        <v>4.9280000000000004E-2</v>
      </c>
      <c r="F452" s="1">
        <v>201</v>
      </c>
      <c r="G452" s="1" t="str">
        <f>VLOOKUP(F452,'Master(Ko Xóa)'!$F$2:$H$158,3,0)</f>
        <v>Out</v>
      </c>
      <c r="H452" s="6" t="s">
        <v>1107</v>
      </c>
      <c r="I452" s="6" t="s">
        <v>1111</v>
      </c>
    </row>
    <row r="453" spans="1:9">
      <c r="A453" s="4">
        <v>1</v>
      </c>
      <c r="B453" s="5" t="s">
        <v>545</v>
      </c>
      <c r="C453" s="6">
        <v>9699</v>
      </c>
      <c r="D453" s="7">
        <v>1</v>
      </c>
      <c r="E453">
        <v>5.4640000000000001E-2</v>
      </c>
      <c r="F453" s="1">
        <v>201</v>
      </c>
      <c r="G453" s="1" t="str">
        <f>VLOOKUP(F453,'Master(Ko Xóa)'!$F$2:$H$158,3,0)</f>
        <v>Out</v>
      </c>
      <c r="H453" s="6" t="s">
        <v>1107</v>
      </c>
      <c r="I453" s="6" t="s">
        <v>1111</v>
      </c>
    </row>
    <row r="454" spans="1:9">
      <c r="A454" s="4">
        <v>1</v>
      </c>
      <c r="B454" s="5" t="s">
        <v>546</v>
      </c>
      <c r="C454" s="6">
        <v>9699</v>
      </c>
      <c r="D454" s="7">
        <v>1</v>
      </c>
      <c r="E454">
        <v>2.2679999999999999E-2</v>
      </c>
      <c r="F454" s="1">
        <v>201</v>
      </c>
      <c r="G454" s="1" t="str">
        <f>VLOOKUP(F454,'Master(Ko Xóa)'!$F$2:$H$158,3,0)</f>
        <v>Out</v>
      </c>
      <c r="H454" s="6" t="s">
        <v>1107</v>
      </c>
      <c r="I454" s="6" t="s">
        <v>1111</v>
      </c>
    </row>
    <row r="455" spans="1:9">
      <c r="A455" s="4">
        <v>1</v>
      </c>
      <c r="B455" s="5" t="s">
        <v>547</v>
      </c>
      <c r="C455" s="6">
        <v>9699</v>
      </c>
      <c r="D455" s="7">
        <v>1</v>
      </c>
      <c r="E455">
        <v>5.6119999999999996E-2</v>
      </c>
      <c r="F455" s="1">
        <v>201</v>
      </c>
      <c r="G455" s="1" t="str">
        <f>VLOOKUP(F455,'Master(Ko Xóa)'!$F$2:$H$158,3,0)</f>
        <v>Out</v>
      </c>
      <c r="H455" s="6" t="s">
        <v>1107</v>
      </c>
      <c r="I455" s="6" t="s">
        <v>1111</v>
      </c>
    </row>
    <row r="456" spans="1:9">
      <c r="A456" s="4">
        <v>1</v>
      </c>
      <c r="B456" s="5" t="s">
        <v>548</v>
      </c>
      <c r="C456" s="6">
        <v>9699</v>
      </c>
      <c r="D456" s="7">
        <v>1</v>
      </c>
      <c r="E456">
        <v>9.4999999999999998E-3</v>
      </c>
      <c r="F456" s="1">
        <v>201</v>
      </c>
      <c r="G456" s="1" t="str">
        <f>VLOOKUP(F456,'Master(Ko Xóa)'!$F$2:$H$158,3,0)</f>
        <v>Out</v>
      </c>
      <c r="H456" s="6" t="s">
        <v>1107</v>
      </c>
      <c r="I456" s="6" t="s">
        <v>1111</v>
      </c>
    </row>
    <row r="457" spans="1:9">
      <c r="A457" s="4">
        <v>1</v>
      </c>
      <c r="B457" s="5" t="s">
        <v>549</v>
      </c>
      <c r="C457" s="6">
        <v>9699</v>
      </c>
      <c r="D457" s="7">
        <v>1</v>
      </c>
      <c r="E457">
        <v>2E-3</v>
      </c>
      <c r="F457" s="1">
        <v>201</v>
      </c>
      <c r="G457" s="1" t="str">
        <f>VLOOKUP(F457,'Master(Ko Xóa)'!$F$2:$H$158,3,0)</f>
        <v>Out</v>
      </c>
      <c r="H457" s="6" t="s">
        <v>1107</v>
      </c>
      <c r="I457" s="6" t="s">
        <v>1111</v>
      </c>
    </row>
    <row r="458" spans="1:9">
      <c r="A458" s="4">
        <v>1</v>
      </c>
      <c r="B458" s="5" t="s">
        <v>550</v>
      </c>
      <c r="C458" s="6">
        <v>9699</v>
      </c>
      <c r="D458" s="7">
        <v>2</v>
      </c>
      <c r="E458">
        <v>0.191</v>
      </c>
      <c r="F458" s="1">
        <v>201</v>
      </c>
      <c r="G458" s="1" t="str">
        <f>VLOOKUP(F458,'Master(Ko Xóa)'!$F$2:$H$158,3,0)</f>
        <v>Out</v>
      </c>
      <c r="H458" s="6" t="s">
        <v>1107</v>
      </c>
      <c r="I458" s="6" t="s">
        <v>1111</v>
      </c>
    </row>
    <row r="459" spans="1:9">
      <c r="A459" s="4">
        <v>1</v>
      </c>
      <c r="B459" s="5" t="s">
        <v>551</v>
      </c>
      <c r="C459" s="6">
        <v>9699</v>
      </c>
      <c r="D459" s="7">
        <v>1</v>
      </c>
      <c r="E459">
        <v>0.1153</v>
      </c>
      <c r="F459" s="1">
        <v>201</v>
      </c>
      <c r="G459" s="1" t="str">
        <f>VLOOKUP(F459,'Master(Ko Xóa)'!$F$2:$H$158,3,0)</f>
        <v>Out</v>
      </c>
      <c r="H459" s="6" t="s">
        <v>1107</v>
      </c>
      <c r="I459" s="6" t="s">
        <v>1111</v>
      </c>
    </row>
    <row r="460" spans="1:9">
      <c r="A460" s="4">
        <v>1</v>
      </c>
      <c r="B460" s="5" t="s">
        <v>552</v>
      </c>
      <c r="C460" s="6">
        <v>9699</v>
      </c>
      <c r="D460" s="7">
        <v>1</v>
      </c>
      <c r="E460">
        <v>1.349E-2</v>
      </c>
      <c r="F460" s="1">
        <v>201</v>
      </c>
      <c r="G460" s="1" t="str">
        <f>VLOOKUP(F460,'Master(Ko Xóa)'!$F$2:$H$158,3,0)</f>
        <v>Out</v>
      </c>
      <c r="H460" s="6" t="s">
        <v>1107</v>
      </c>
      <c r="I460" s="6" t="s">
        <v>1111</v>
      </c>
    </row>
    <row r="461" spans="1:9">
      <c r="A461" s="4">
        <v>1</v>
      </c>
      <c r="B461" s="5" t="s">
        <v>553</v>
      </c>
      <c r="C461" s="6">
        <v>9699</v>
      </c>
      <c r="D461" s="7">
        <v>2</v>
      </c>
      <c r="E461">
        <v>1.8478399999999999</v>
      </c>
      <c r="F461" s="1">
        <v>201</v>
      </c>
      <c r="G461" s="1" t="str">
        <f>VLOOKUP(F461,'Master(Ko Xóa)'!$F$2:$H$158,3,0)</f>
        <v>Out</v>
      </c>
      <c r="H461" s="6" t="s">
        <v>1107</v>
      </c>
      <c r="I461" s="6" t="s">
        <v>1111</v>
      </c>
    </row>
    <row r="462" spans="1:9">
      <c r="A462" s="4">
        <v>1</v>
      </c>
      <c r="B462" s="5" t="s">
        <v>554</v>
      </c>
      <c r="C462" s="6">
        <v>9699</v>
      </c>
      <c r="D462" s="7">
        <v>1</v>
      </c>
      <c r="E462">
        <v>4.6899999999999997E-2</v>
      </c>
      <c r="F462" s="1">
        <v>201</v>
      </c>
      <c r="G462" s="1" t="str">
        <f>VLOOKUP(F462,'Master(Ko Xóa)'!$F$2:$H$158,3,0)</f>
        <v>Out</v>
      </c>
      <c r="H462" s="6" t="s">
        <v>1107</v>
      </c>
      <c r="I462" s="6" t="s">
        <v>1111</v>
      </c>
    </row>
    <row r="463" spans="1:9">
      <c r="A463" s="4">
        <v>1</v>
      </c>
      <c r="B463" s="5" t="s">
        <v>555</v>
      </c>
      <c r="C463" s="6">
        <v>9699</v>
      </c>
      <c r="D463" s="7">
        <v>1</v>
      </c>
      <c r="E463">
        <v>2.7100000000000003E-2</v>
      </c>
      <c r="F463" s="1">
        <v>201</v>
      </c>
      <c r="G463" s="1" t="str">
        <f>VLOOKUP(F463,'Master(Ko Xóa)'!$F$2:$H$158,3,0)</f>
        <v>Out</v>
      </c>
      <c r="H463" s="6" t="s">
        <v>1107</v>
      </c>
      <c r="I463" s="6" t="s">
        <v>1111</v>
      </c>
    </row>
    <row r="464" spans="1:9">
      <c r="A464" s="4">
        <v>1</v>
      </c>
      <c r="B464" s="5" t="s">
        <v>556</v>
      </c>
      <c r="C464" s="6">
        <v>9699</v>
      </c>
      <c r="D464" s="7">
        <v>1</v>
      </c>
      <c r="E464">
        <v>6.2539999999999998E-2</v>
      </c>
      <c r="F464" s="1">
        <v>201</v>
      </c>
      <c r="G464" s="1" t="str">
        <f>VLOOKUP(F464,'Master(Ko Xóa)'!$F$2:$H$158,3,0)</f>
        <v>Out</v>
      </c>
      <c r="H464" s="6" t="s">
        <v>1107</v>
      </c>
      <c r="I464" s="6" t="s">
        <v>1111</v>
      </c>
    </row>
    <row r="465" spans="1:9">
      <c r="A465" s="4">
        <v>1</v>
      </c>
      <c r="B465" s="5" t="s">
        <v>557</v>
      </c>
      <c r="C465" s="6">
        <v>9699</v>
      </c>
      <c r="D465" s="7">
        <v>1</v>
      </c>
      <c r="E465">
        <v>0.14480000000000001</v>
      </c>
      <c r="F465" s="1">
        <v>201</v>
      </c>
      <c r="G465" s="1" t="str">
        <f>VLOOKUP(F465,'Master(Ko Xóa)'!$F$2:$H$158,3,0)</f>
        <v>Out</v>
      </c>
      <c r="H465" s="6" t="s">
        <v>1107</v>
      </c>
      <c r="I465" s="6" t="s">
        <v>1111</v>
      </c>
    </row>
    <row r="466" spans="1:9">
      <c r="A466" s="4">
        <v>1</v>
      </c>
      <c r="B466" s="5" t="s">
        <v>558</v>
      </c>
      <c r="C466" s="6">
        <v>9699</v>
      </c>
      <c r="D466" s="7">
        <v>6</v>
      </c>
      <c r="E466">
        <v>9.2885399999999994</v>
      </c>
      <c r="F466" s="1">
        <v>201</v>
      </c>
      <c r="G466" s="1" t="str">
        <f>VLOOKUP(F466,'Master(Ko Xóa)'!$F$2:$H$158,3,0)</f>
        <v>Out</v>
      </c>
      <c r="H466" s="6" t="s">
        <v>1107</v>
      </c>
      <c r="I466" s="6" t="s">
        <v>1111</v>
      </c>
    </row>
    <row r="467" spans="1:9">
      <c r="A467" s="4">
        <v>1</v>
      </c>
      <c r="B467" s="5" t="s">
        <v>559</v>
      </c>
      <c r="C467" s="6">
        <v>9699</v>
      </c>
      <c r="D467" s="7">
        <v>2</v>
      </c>
      <c r="E467">
        <v>5.1928000000000001</v>
      </c>
      <c r="F467" s="1">
        <v>201</v>
      </c>
      <c r="G467" s="1" t="str">
        <f>VLOOKUP(F467,'Master(Ko Xóa)'!$F$2:$H$158,3,0)</f>
        <v>Out</v>
      </c>
      <c r="H467" s="6" t="s">
        <v>1107</v>
      </c>
      <c r="I467" s="6" t="s">
        <v>1111</v>
      </c>
    </row>
    <row r="468" spans="1:9">
      <c r="A468" s="4">
        <v>1</v>
      </c>
      <c r="B468" s="5" t="s">
        <v>560</v>
      </c>
      <c r="C468" s="6">
        <v>9699</v>
      </c>
      <c r="D468" s="7">
        <v>1</v>
      </c>
      <c r="E468">
        <v>0.12340999999999999</v>
      </c>
      <c r="F468" s="1">
        <v>201</v>
      </c>
      <c r="G468" s="1" t="str">
        <f>VLOOKUP(F468,'Master(Ko Xóa)'!$F$2:$H$158,3,0)</f>
        <v>Out</v>
      </c>
      <c r="H468" s="6" t="s">
        <v>1107</v>
      </c>
      <c r="I468" s="6" t="s">
        <v>1111</v>
      </c>
    </row>
    <row r="469" spans="1:9">
      <c r="A469" s="4">
        <v>1</v>
      </c>
      <c r="B469" s="5" t="s">
        <v>561</v>
      </c>
      <c r="C469" s="6">
        <v>9699</v>
      </c>
      <c r="D469" s="7">
        <v>1</v>
      </c>
      <c r="E469">
        <v>7.0930000000000007E-2</v>
      </c>
      <c r="F469" s="1">
        <v>201</v>
      </c>
      <c r="G469" s="1" t="str">
        <f>VLOOKUP(F469,'Master(Ko Xóa)'!$F$2:$H$158,3,0)</f>
        <v>Out</v>
      </c>
      <c r="H469" s="6" t="s">
        <v>1107</v>
      </c>
      <c r="I469" s="6" t="s">
        <v>1111</v>
      </c>
    </row>
    <row r="470" spans="1:9">
      <c r="A470" s="4">
        <v>1</v>
      </c>
      <c r="B470" s="5" t="s">
        <v>562</v>
      </c>
      <c r="C470" s="6">
        <v>9699</v>
      </c>
      <c r="D470" s="7">
        <v>1</v>
      </c>
      <c r="E470">
        <v>2.0202499999999999</v>
      </c>
      <c r="F470" s="1">
        <v>201</v>
      </c>
      <c r="G470" s="1" t="str">
        <f>VLOOKUP(F470,'Master(Ko Xóa)'!$F$2:$H$158,3,0)</f>
        <v>Out</v>
      </c>
      <c r="H470" s="6" t="s">
        <v>1107</v>
      </c>
      <c r="I470" s="6" t="s">
        <v>1111</v>
      </c>
    </row>
    <row r="471" spans="1:9">
      <c r="A471" s="4">
        <v>1</v>
      </c>
      <c r="B471" s="5" t="s">
        <v>563</v>
      </c>
      <c r="C471" s="6">
        <v>9699</v>
      </c>
      <c r="D471" s="7">
        <v>1</v>
      </c>
      <c r="E471">
        <v>3.4533</v>
      </c>
      <c r="F471" s="1">
        <v>201</v>
      </c>
      <c r="G471" s="1" t="str">
        <f>VLOOKUP(F471,'Master(Ko Xóa)'!$F$2:$H$158,3,0)</f>
        <v>Out</v>
      </c>
      <c r="H471" s="6" t="s">
        <v>1107</v>
      </c>
      <c r="I471" s="6" t="s">
        <v>1111</v>
      </c>
    </row>
    <row r="472" spans="1:9">
      <c r="A472" s="4">
        <v>1</v>
      </c>
      <c r="B472" s="5" t="s">
        <v>564</v>
      </c>
      <c r="C472" s="6">
        <v>9699</v>
      </c>
      <c r="D472" s="7">
        <v>2</v>
      </c>
      <c r="E472">
        <v>5.5392000000000001</v>
      </c>
      <c r="F472" s="1">
        <v>201</v>
      </c>
      <c r="G472" s="1" t="str">
        <f>VLOOKUP(F472,'Master(Ko Xóa)'!$F$2:$H$158,3,0)</f>
        <v>Out</v>
      </c>
      <c r="H472" s="6" t="s">
        <v>1107</v>
      </c>
      <c r="I472" s="6" t="s">
        <v>1111</v>
      </c>
    </row>
    <row r="473" spans="1:9">
      <c r="A473" s="4">
        <v>1</v>
      </c>
      <c r="B473" s="5" t="s">
        <v>565</v>
      </c>
      <c r="C473" s="6">
        <v>9699</v>
      </c>
      <c r="D473" s="7">
        <v>4</v>
      </c>
      <c r="E473">
        <v>1.0771199999999999</v>
      </c>
      <c r="F473" s="1">
        <v>201</v>
      </c>
      <c r="G473" s="1" t="str">
        <f>VLOOKUP(F473,'Master(Ko Xóa)'!$F$2:$H$158,3,0)</f>
        <v>Out</v>
      </c>
      <c r="H473" s="6" t="s">
        <v>1107</v>
      </c>
      <c r="I473" s="6" t="s">
        <v>1111</v>
      </c>
    </row>
    <row r="474" spans="1:9">
      <c r="A474" s="4">
        <v>1</v>
      </c>
      <c r="B474" s="5" t="s">
        <v>566</v>
      </c>
      <c r="C474" s="6">
        <v>9699</v>
      </c>
      <c r="D474" s="7">
        <v>1</v>
      </c>
      <c r="E474">
        <v>5.6402099999999997</v>
      </c>
      <c r="F474" s="1">
        <v>201</v>
      </c>
      <c r="G474" s="1" t="str">
        <f>VLOOKUP(F474,'Master(Ko Xóa)'!$F$2:$H$158,3,0)</f>
        <v>Out</v>
      </c>
      <c r="H474" s="6" t="s">
        <v>1107</v>
      </c>
      <c r="I474" s="6" t="s">
        <v>1111</v>
      </c>
    </row>
    <row r="475" spans="1:9">
      <c r="A475" s="4">
        <v>1</v>
      </c>
      <c r="B475" s="5" t="s">
        <v>567</v>
      </c>
      <c r="C475" s="6">
        <v>9699</v>
      </c>
      <c r="D475" s="7">
        <v>1</v>
      </c>
      <c r="E475">
        <v>2.7483499999999998</v>
      </c>
      <c r="F475" s="1">
        <v>201</v>
      </c>
      <c r="G475" s="1" t="str">
        <f>VLOOKUP(F475,'Master(Ko Xóa)'!$F$2:$H$158,3,0)</f>
        <v>Out</v>
      </c>
      <c r="H475" s="6" t="s">
        <v>1107</v>
      </c>
      <c r="I475" s="6" t="s">
        <v>1111</v>
      </c>
    </row>
    <row r="476" spans="1:9">
      <c r="A476" s="4">
        <v>1</v>
      </c>
      <c r="B476" s="5" t="s">
        <v>568</v>
      </c>
      <c r="C476" s="6">
        <v>9699</v>
      </c>
      <c r="D476" s="7">
        <v>3</v>
      </c>
      <c r="E476">
        <v>41.288669999999996</v>
      </c>
      <c r="F476" s="1">
        <v>201</v>
      </c>
      <c r="G476" s="1" t="str">
        <f>VLOOKUP(F476,'Master(Ko Xóa)'!$F$2:$H$158,3,0)</f>
        <v>Out</v>
      </c>
      <c r="H476" s="6" t="s">
        <v>1107</v>
      </c>
      <c r="I476" s="6" t="s">
        <v>1111</v>
      </c>
    </row>
    <row r="477" spans="1:9">
      <c r="A477" s="4">
        <v>1</v>
      </c>
      <c r="B477" s="5" t="s">
        <v>569</v>
      </c>
      <c r="C477" s="6">
        <v>9699</v>
      </c>
      <c r="D477" s="7">
        <v>1</v>
      </c>
      <c r="E477">
        <v>0.13539999999999999</v>
      </c>
      <c r="F477" s="1">
        <v>201</v>
      </c>
      <c r="G477" s="1" t="str">
        <f>VLOOKUP(F477,'Master(Ko Xóa)'!$F$2:$H$158,3,0)</f>
        <v>Out</v>
      </c>
      <c r="H477" s="6" t="s">
        <v>1107</v>
      </c>
      <c r="I477" s="6" t="s">
        <v>1111</v>
      </c>
    </row>
    <row r="478" spans="1:9">
      <c r="A478" s="4">
        <v>1</v>
      </c>
      <c r="B478" s="5" t="s">
        <v>570</v>
      </c>
      <c r="C478" s="6">
        <v>9699</v>
      </c>
      <c r="D478" s="7">
        <v>1</v>
      </c>
      <c r="E478">
        <v>1.7755000000000001</v>
      </c>
      <c r="F478" s="1">
        <v>201</v>
      </c>
      <c r="G478" s="1" t="str">
        <f>VLOOKUP(F478,'Master(Ko Xóa)'!$F$2:$H$158,3,0)</f>
        <v>Out</v>
      </c>
      <c r="H478" s="6" t="s">
        <v>1107</v>
      </c>
      <c r="I478" s="6" t="s">
        <v>1111</v>
      </c>
    </row>
    <row r="479" spans="1:9">
      <c r="A479" s="4">
        <v>1</v>
      </c>
      <c r="B479" s="5" t="s">
        <v>571</v>
      </c>
      <c r="C479" s="6">
        <v>9699</v>
      </c>
      <c r="D479" s="7">
        <v>1</v>
      </c>
      <c r="E479">
        <v>0.20519999999999999</v>
      </c>
      <c r="F479" s="1">
        <v>201</v>
      </c>
      <c r="G479" s="1" t="str">
        <f>VLOOKUP(F479,'Master(Ko Xóa)'!$F$2:$H$158,3,0)</f>
        <v>Out</v>
      </c>
      <c r="H479" s="6" t="s">
        <v>1107</v>
      </c>
      <c r="I479" s="6" t="s">
        <v>1111</v>
      </c>
    </row>
    <row r="480" spans="1:9">
      <c r="A480" s="4">
        <v>1</v>
      </c>
      <c r="B480" s="5" t="s">
        <v>572</v>
      </c>
      <c r="C480" s="6">
        <v>9699</v>
      </c>
      <c r="D480" s="7">
        <v>1</v>
      </c>
      <c r="E480">
        <v>0.15</v>
      </c>
      <c r="F480" s="1">
        <v>201</v>
      </c>
      <c r="G480" s="1" t="str">
        <f>VLOOKUP(F480,'Master(Ko Xóa)'!$F$2:$H$158,3,0)</f>
        <v>Out</v>
      </c>
      <c r="H480" s="6" t="s">
        <v>1107</v>
      </c>
      <c r="I480" s="6" t="s">
        <v>1111</v>
      </c>
    </row>
    <row r="481" spans="1:9">
      <c r="A481" s="4">
        <v>1</v>
      </c>
      <c r="B481" s="5" t="s">
        <v>573</v>
      </c>
      <c r="C481" s="6">
        <v>9699</v>
      </c>
      <c r="D481" s="7">
        <v>1</v>
      </c>
      <c r="E481">
        <v>3.5000000000000001E-3</v>
      </c>
      <c r="F481" s="1">
        <v>201</v>
      </c>
      <c r="G481" s="1" t="str">
        <f>VLOOKUP(F481,'Master(Ko Xóa)'!$F$2:$H$158,3,0)</f>
        <v>Out</v>
      </c>
      <c r="H481" s="6" t="s">
        <v>1107</v>
      </c>
      <c r="I481" s="6" t="s">
        <v>1111</v>
      </c>
    </row>
    <row r="482" spans="1:9">
      <c r="A482" s="4">
        <v>1</v>
      </c>
      <c r="B482" s="5" t="s">
        <v>574</v>
      </c>
      <c r="C482" s="6">
        <v>9699</v>
      </c>
      <c r="D482" s="7">
        <v>1</v>
      </c>
      <c r="E482">
        <v>9.9000000000000005E-2</v>
      </c>
      <c r="F482" s="1">
        <v>201</v>
      </c>
      <c r="G482" s="1" t="str">
        <f>VLOOKUP(F482,'Master(Ko Xóa)'!$F$2:$H$158,3,0)</f>
        <v>Out</v>
      </c>
      <c r="H482" s="6" t="s">
        <v>1107</v>
      </c>
      <c r="I482" s="6" t="s">
        <v>1111</v>
      </c>
    </row>
    <row r="483" spans="1:9">
      <c r="A483" s="4">
        <v>1</v>
      </c>
      <c r="B483" s="5" t="s">
        <v>575</v>
      </c>
      <c r="C483" s="6">
        <v>9699</v>
      </c>
      <c r="D483" s="7">
        <v>1</v>
      </c>
      <c r="E483">
        <v>0.24201</v>
      </c>
      <c r="F483" s="1">
        <v>201</v>
      </c>
      <c r="G483" s="1" t="str">
        <f>VLOOKUP(F483,'Master(Ko Xóa)'!$F$2:$H$158,3,0)</f>
        <v>Out</v>
      </c>
      <c r="H483" s="6" t="s">
        <v>1107</v>
      </c>
      <c r="I483" s="6" t="s">
        <v>1111</v>
      </c>
    </row>
    <row r="484" spans="1:9">
      <c r="A484" s="4">
        <v>1</v>
      </c>
      <c r="B484" s="5" t="s">
        <v>576</v>
      </c>
      <c r="C484" s="6">
        <v>9699</v>
      </c>
      <c r="D484" s="7">
        <v>1</v>
      </c>
      <c r="E484">
        <v>0.16752</v>
      </c>
      <c r="F484" s="1">
        <v>201</v>
      </c>
      <c r="G484" s="1" t="str">
        <f>VLOOKUP(F484,'Master(Ko Xóa)'!$F$2:$H$158,3,0)</f>
        <v>Out</v>
      </c>
      <c r="H484" s="6" t="s">
        <v>1107</v>
      </c>
      <c r="I484" s="6" t="s">
        <v>1111</v>
      </c>
    </row>
    <row r="485" spans="1:9">
      <c r="A485" s="4">
        <v>1</v>
      </c>
      <c r="B485" s="5" t="s">
        <v>577</v>
      </c>
      <c r="C485" s="6">
        <v>9699</v>
      </c>
      <c r="D485" s="7">
        <v>1</v>
      </c>
      <c r="E485">
        <v>7.0000000000000007E-2</v>
      </c>
      <c r="F485" s="1">
        <v>201</v>
      </c>
      <c r="G485" s="1" t="str">
        <f>VLOOKUP(F485,'Master(Ko Xóa)'!$F$2:$H$158,3,0)</f>
        <v>Out</v>
      </c>
      <c r="H485" s="6" t="s">
        <v>1107</v>
      </c>
      <c r="I485" s="6" t="s">
        <v>1111</v>
      </c>
    </row>
    <row r="486" spans="1:9">
      <c r="A486" s="4">
        <v>1</v>
      </c>
      <c r="B486" s="5" t="s">
        <v>578</v>
      </c>
      <c r="C486" s="6">
        <v>9699</v>
      </c>
      <c r="D486" s="7">
        <v>1</v>
      </c>
      <c r="E486">
        <v>0.08</v>
      </c>
      <c r="F486" s="1">
        <v>201</v>
      </c>
      <c r="G486" s="1" t="str">
        <f>VLOOKUP(F486,'Master(Ko Xóa)'!$F$2:$H$158,3,0)</f>
        <v>Out</v>
      </c>
      <c r="H486" s="6" t="s">
        <v>1107</v>
      </c>
      <c r="I486" s="6" t="s">
        <v>1111</v>
      </c>
    </row>
    <row r="487" spans="1:9">
      <c r="A487" s="4">
        <v>1</v>
      </c>
      <c r="B487" s="5" t="s">
        <v>579</v>
      </c>
      <c r="C487" s="6">
        <v>9699</v>
      </c>
      <c r="D487" s="7">
        <v>1</v>
      </c>
      <c r="E487">
        <v>0.6573</v>
      </c>
      <c r="F487" s="1">
        <v>201</v>
      </c>
      <c r="G487" s="1" t="str">
        <f>VLOOKUP(F487,'Master(Ko Xóa)'!$F$2:$H$158,3,0)</f>
        <v>Out</v>
      </c>
      <c r="H487" s="6" t="s">
        <v>1107</v>
      </c>
      <c r="I487" s="6" t="s">
        <v>1111</v>
      </c>
    </row>
    <row r="488" spans="1:9">
      <c r="A488" s="4">
        <v>1</v>
      </c>
      <c r="B488" s="5" t="s">
        <v>580</v>
      </c>
      <c r="C488" s="6">
        <v>9699</v>
      </c>
      <c r="D488" s="7">
        <v>1</v>
      </c>
      <c r="E488">
        <v>0.57550000000000001</v>
      </c>
      <c r="F488" s="1">
        <v>201</v>
      </c>
      <c r="G488" s="1" t="str">
        <f>VLOOKUP(F488,'Master(Ko Xóa)'!$F$2:$H$158,3,0)</f>
        <v>Out</v>
      </c>
      <c r="H488" s="6" t="s">
        <v>1107</v>
      </c>
      <c r="I488" s="6" t="s">
        <v>1111</v>
      </c>
    </row>
    <row r="489" spans="1:9">
      <c r="A489" s="4">
        <v>1</v>
      </c>
      <c r="B489" s="5" t="s">
        <v>581</v>
      </c>
      <c r="C489" s="6">
        <v>9699</v>
      </c>
      <c r="D489" s="7">
        <v>1</v>
      </c>
      <c r="E489">
        <v>0.65589999999999993</v>
      </c>
      <c r="F489" s="1">
        <v>201</v>
      </c>
      <c r="G489" s="1" t="str">
        <f>VLOOKUP(F489,'Master(Ko Xóa)'!$F$2:$H$158,3,0)</f>
        <v>Out</v>
      </c>
      <c r="H489" s="6" t="s">
        <v>1107</v>
      </c>
      <c r="I489" s="6" t="s">
        <v>1111</v>
      </c>
    </row>
    <row r="490" spans="1:9">
      <c r="A490" s="4">
        <v>1</v>
      </c>
      <c r="B490" s="5" t="s">
        <v>582</v>
      </c>
      <c r="C490" s="6">
        <v>9699</v>
      </c>
      <c r="D490" s="7">
        <v>1</v>
      </c>
      <c r="E490">
        <v>0.65589999999999993</v>
      </c>
      <c r="F490" s="1">
        <v>201</v>
      </c>
      <c r="G490" s="1" t="str">
        <f>VLOOKUP(F490,'Master(Ko Xóa)'!$F$2:$H$158,3,0)</f>
        <v>Out</v>
      </c>
      <c r="H490" s="6" t="s">
        <v>1107</v>
      </c>
      <c r="I490" s="6" t="s">
        <v>1111</v>
      </c>
    </row>
    <row r="491" spans="1:9">
      <c r="A491" s="4">
        <v>1</v>
      </c>
      <c r="B491" s="5" t="s">
        <v>583</v>
      </c>
      <c r="C491" s="6">
        <v>9699</v>
      </c>
      <c r="D491" s="7">
        <v>1</v>
      </c>
      <c r="E491">
        <v>0.43863999999999997</v>
      </c>
      <c r="F491" s="1">
        <v>201</v>
      </c>
      <c r="G491" s="1" t="str">
        <f>VLOOKUP(F491,'Master(Ko Xóa)'!$F$2:$H$158,3,0)</f>
        <v>Out</v>
      </c>
      <c r="H491" s="6" t="s">
        <v>1107</v>
      </c>
      <c r="I491" s="6" t="s">
        <v>1111</v>
      </c>
    </row>
    <row r="492" spans="1:9">
      <c r="A492" s="4">
        <v>1</v>
      </c>
      <c r="B492" s="5" t="s">
        <v>584</v>
      </c>
      <c r="C492" s="6">
        <v>9699</v>
      </c>
      <c r="D492" s="7">
        <v>1</v>
      </c>
      <c r="E492">
        <v>0.38268999999999997</v>
      </c>
      <c r="F492" s="1">
        <v>201</v>
      </c>
      <c r="G492" s="1" t="str">
        <f>VLOOKUP(F492,'Master(Ko Xóa)'!$F$2:$H$158,3,0)</f>
        <v>Out</v>
      </c>
      <c r="H492" s="6" t="s">
        <v>1107</v>
      </c>
      <c r="I492" s="6" t="s">
        <v>1111</v>
      </c>
    </row>
    <row r="493" spans="1:9">
      <c r="A493" s="4">
        <v>1</v>
      </c>
      <c r="B493" s="5" t="s">
        <v>585</v>
      </c>
      <c r="C493" s="6">
        <v>9699</v>
      </c>
      <c r="D493" s="7">
        <v>1</v>
      </c>
      <c r="E493">
        <v>0.08</v>
      </c>
      <c r="F493" s="1">
        <v>201</v>
      </c>
      <c r="G493" s="1" t="str">
        <f>VLOOKUP(F493,'Master(Ko Xóa)'!$F$2:$H$158,3,0)</f>
        <v>Out</v>
      </c>
      <c r="H493" s="6" t="s">
        <v>1107</v>
      </c>
      <c r="I493" s="6" t="s">
        <v>1111</v>
      </c>
    </row>
    <row r="494" spans="1:9">
      <c r="A494" s="4">
        <v>1</v>
      </c>
      <c r="B494" s="5" t="s">
        <v>586</v>
      </c>
      <c r="C494" s="6">
        <v>9699</v>
      </c>
      <c r="D494" s="7">
        <v>1</v>
      </c>
      <c r="E494">
        <v>0.11</v>
      </c>
      <c r="F494" s="1">
        <v>201</v>
      </c>
      <c r="G494" s="1" t="str">
        <f>VLOOKUP(F494,'Master(Ko Xóa)'!$F$2:$H$158,3,0)</f>
        <v>Out</v>
      </c>
      <c r="H494" s="6" t="s">
        <v>1107</v>
      </c>
      <c r="I494" s="6" t="s">
        <v>1111</v>
      </c>
    </row>
    <row r="495" spans="1:9">
      <c r="A495" s="4">
        <v>1</v>
      </c>
      <c r="B495" s="5" t="s">
        <v>587</v>
      </c>
      <c r="C495" s="6">
        <v>9699</v>
      </c>
      <c r="D495" s="7">
        <v>1</v>
      </c>
      <c r="E495">
        <v>7.640000000000001E-2</v>
      </c>
      <c r="F495" s="1">
        <v>201</v>
      </c>
      <c r="G495" s="1" t="str">
        <f>VLOOKUP(F495,'Master(Ko Xóa)'!$F$2:$H$158,3,0)</f>
        <v>Out</v>
      </c>
      <c r="H495" s="6" t="s">
        <v>1107</v>
      </c>
      <c r="I495" s="6" t="s">
        <v>1111</v>
      </c>
    </row>
    <row r="496" spans="1:9">
      <c r="A496" s="4">
        <v>1</v>
      </c>
      <c r="B496" s="5" t="s">
        <v>588</v>
      </c>
      <c r="C496" s="6">
        <v>9699</v>
      </c>
      <c r="D496" s="7">
        <v>1</v>
      </c>
      <c r="E496">
        <v>8.199999999999999E-3</v>
      </c>
      <c r="F496" s="1">
        <v>201</v>
      </c>
      <c r="G496" s="1" t="str">
        <f>VLOOKUP(F496,'Master(Ko Xóa)'!$F$2:$H$158,3,0)</f>
        <v>Out</v>
      </c>
      <c r="H496" s="6" t="s">
        <v>1107</v>
      </c>
      <c r="I496" s="6" t="s">
        <v>1111</v>
      </c>
    </row>
    <row r="497" spans="1:9">
      <c r="A497" s="4">
        <v>1</v>
      </c>
      <c r="B497" s="5" t="s">
        <v>589</v>
      </c>
      <c r="C497" s="6">
        <v>9699</v>
      </c>
      <c r="D497" s="7">
        <v>1</v>
      </c>
      <c r="E497">
        <v>4.2000000000000006E-3</v>
      </c>
      <c r="F497" s="1">
        <v>201</v>
      </c>
      <c r="G497" s="1" t="str">
        <f>VLOOKUP(F497,'Master(Ko Xóa)'!$F$2:$H$158,3,0)</f>
        <v>Out</v>
      </c>
      <c r="H497" s="6" t="s">
        <v>1107</v>
      </c>
      <c r="I497" s="6" t="s">
        <v>1111</v>
      </c>
    </row>
    <row r="498" spans="1:9">
      <c r="A498" s="4">
        <v>1</v>
      </c>
      <c r="B498" s="5" t="s">
        <v>590</v>
      </c>
      <c r="C498" s="6">
        <v>9699</v>
      </c>
      <c r="D498" s="7">
        <v>1</v>
      </c>
      <c r="E498">
        <v>0.04</v>
      </c>
      <c r="F498" s="1">
        <v>201</v>
      </c>
      <c r="G498" s="1" t="str">
        <f>VLOOKUP(F498,'Master(Ko Xóa)'!$F$2:$H$158,3,0)</f>
        <v>Out</v>
      </c>
      <c r="H498" s="6" t="s">
        <v>1107</v>
      </c>
      <c r="I498" s="6" t="s">
        <v>1111</v>
      </c>
    </row>
    <row r="499" spans="1:9">
      <c r="A499" s="4">
        <v>1</v>
      </c>
      <c r="B499" s="5" t="s">
        <v>591</v>
      </c>
      <c r="C499" s="6">
        <v>9699</v>
      </c>
      <c r="D499" s="7">
        <v>1</v>
      </c>
      <c r="E499">
        <v>0.20830000000000001</v>
      </c>
      <c r="F499" s="1">
        <v>201</v>
      </c>
      <c r="G499" s="1" t="str">
        <f>VLOOKUP(F499,'Master(Ko Xóa)'!$F$2:$H$158,3,0)</f>
        <v>Out</v>
      </c>
      <c r="H499" s="6" t="s">
        <v>1107</v>
      </c>
      <c r="I499" s="6" t="s">
        <v>1111</v>
      </c>
    </row>
    <row r="500" spans="1:9">
      <c r="A500" s="4">
        <v>1</v>
      </c>
      <c r="B500" s="5" t="s">
        <v>592</v>
      </c>
      <c r="C500" s="6">
        <v>9699</v>
      </c>
      <c r="D500" s="7">
        <v>2</v>
      </c>
      <c r="E500">
        <v>9.8080000000000001E-2</v>
      </c>
      <c r="F500" s="1">
        <v>201</v>
      </c>
      <c r="G500" s="1" t="str">
        <f>VLOOKUP(F500,'Master(Ko Xóa)'!$F$2:$H$158,3,0)</f>
        <v>Out</v>
      </c>
      <c r="H500" s="6" t="s">
        <v>1107</v>
      </c>
      <c r="I500" s="6" t="s">
        <v>1111</v>
      </c>
    </row>
    <row r="501" spans="1:9">
      <c r="A501" s="4">
        <v>1</v>
      </c>
      <c r="B501" s="5" t="s">
        <v>593</v>
      </c>
      <c r="C501" s="6">
        <v>9699</v>
      </c>
      <c r="D501" s="7">
        <v>1</v>
      </c>
      <c r="E501">
        <v>0.18631999999999999</v>
      </c>
      <c r="F501" s="1">
        <v>201</v>
      </c>
      <c r="G501" s="1" t="str">
        <f>VLOOKUP(F501,'Master(Ko Xóa)'!$F$2:$H$158,3,0)</f>
        <v>Out</v>
      </c>
      <c r="H501" s="6" t="s">
        <v>1107</v>
      </c>
      <c r="I501" s="6" t="s">
        <v>1111</v>
      </c>
    </row>
    <row r="502" spans="1:9">
      <c r="A502" s="4">
        <v>1</v>
      </c>
      <c r="B502" s="5" t="s">
        <v>594</v>
      </c>
      <c r="C502" s="6">
        <v>9699</v>
      </c>
      <c r="D502" s="7">
        <v>1</v>
      </c>
      <c r="E502">
        <v>0.11487</v>
      </c>
      <c r="F502" s="1">
        <v>201</v>
      </c>
      <c r="G502" s="1" t="str">
        <f>VLOOKUP(F502,'Master(Ko Xóa)'!$F$2:$H$158,3,0)</f>
        <v>Out</v>
      </c>
      <c r="H502" s="6" t="s">
        <v>1107</v>
      </c>
      <c r="I502" s="6" t="s">
        <v>1111</v>
      </c>
    </row>
    <row r="503" spans="1:9">
      <c r="A503" s="4">
        <v>1</v>
      </c>
      <c r="B503" s="5" t="s">
        <v>595</v>
      </c>
      <c r="C503" s="6">
        <v>9699</v>
      </c>
      <c r="D503" s="7">
        <v>1</v>
      </c>
      <c r="E503">
        <v>0.10634</v>
      </c>
      <c r="F503" s="1">
        <v>201</v>
      </c>
      <c r="G503" s="1" t="str">
        <f>VLOOKUP(F503,'Master(Ko Xóa)'!$F$2:$H$158,3,0)</f>
        <v>Out</v>
      </c>
      <c r="H503" s="6" t="s">
        <v>1107</v>
      </c>
      <c r="I503" s="6" t="s">
        <v>1111</v>
      </c>
    </row>
    <row r="504" spans="1:9">
      <c r="A504" s="4">
        <v>1</v>
      </c>
      <c r="B504" s="5" t="s">
        <v>596</v>
      </c>
      <c r="C504" s="6">
        <v>9699</v>
      </c>
      <c r="D504" s="7">
        <v>1</v>
      </c>
      <c r="E504">
        <v>5.3348000000000004</v>
      </c>
      <c r="F504" s="1">
        <v>201</v>
      </c>
      <c r="G504" s="1" t="str">
        <f>VLOOKUP(F504,'Master(Ko Xóa)'!$F$2:$H$158,3,0)</f>
        <v>Out</v>
      </c>
      <c r="H504" s="6" t="s">
        <v>1107</v>
      </c>
      <c r="I504" s="6" t="s">
        <v>1111</v>
      </c>
    </row>
    <row r="505" spans="1:9">
      <c r="A505" s="4">
        <v>1</v>
      </c>
      <c r="B505" s="5" t="s">
        <v>597</v>
      </c>
      <c r="C505" s="6">
        <v>9699</v>
      </c>
      <c r="D505" s="7">
        <v>1</v>
      </c>
      <c r="E505">
        <v>0.16034999999999999</v>
      </c>
      <c r="F505" s="1">
        <v>201</v>
      </c>
      <c r="G505" s="1" t="str">
        <f>VLOOKUP(F505,'Master(Ko Xóa)'!$F$2:$H$158,3,0)</f>
        <v>Out</v>
      </c>
      <c r="H505" s="6" t="s">
        <v>1107</v>
      </c>
      <c r="I505" s="6" t="s">
        <v>1111</v>
      </c>
    </row>
    <row r="506" spans="1:9">
      <c r="A506" s="4">
        <v>1</v>
      </c>
      <c r="B506" s="5" t="s">
        <v>598</v>
      </c>
      <c r="C506" s="6">
        <v>9699</v>
      </c>
      <c r="D506" s="7">
        <v>1</v>
      </c>
      <c r="E506">
        <v>0.20899999999999999</v>
      </c>
      <c r="F506" s="1">
        <v>201</v>
      </c>
      <c r="G506" s="1" t="str">
        <f>VLOOKUP(F506,'Master(Ko Xóa)'!$F$2:$H$158,3,0)</f>
        <v>Out</v>
      </c>
      <c r="H506" s="6" t="s">
        <v>1107</v>
      </c>
      <c r="I506" s="6" t="s">
        <v>1111</v>
      </c>
    </row>
    <row r="507" spans="1:9">
      <c r="A507" s="4">
        <v>1</v>
      </c>
      <c r="B507" s="5" t="s">
        <v>599</v>
      </c>
      <c r="C507" s="6">
        <v>9699</v>
      </c>
      <c r="D507" s="7">
        <v>1</v>
      </c>
      <c r="E507">
        <v>8.7800000000000003E-2</v>
      </c>
      <c r="F507" s="1">
        <v>201</v>
      </c>
      <c r="G507" s="1" t="str">
        <f>VLOOKUP(F507,'Master(Ko Xóa)'!$F$2:$H$158,3,0)</f>
        <v>Out</v>
      </c>
      <c r="H507" s="6" t="s">
        <v>1107</v>
      </c>
      <c r="I507" s="6" t="s">
        <v>1111</v>
      </c>
    </row>
    <row r="508" spans="1:9">
      <c r="A508" s="4">
        <v>1</v>
      </c>
      <c r="B508" s="5" t="s">
        <v>600</v>
      </c>
      <c r="C508" s="6">
        <v>9699</v>
      </c>
      <c r="D508" s="7">
        <v>2</v>
      </c>
      <c r="E508">
        <v>9.5999999999999992E-3</v>
      </c>
      <c r="F508" s="1">
        <v>201</v>
      </c>
      <c r="G508" s="1" t="str">
        <f>VLOOKUP(F508,'Master(Ko Xóa)'!$F$2:$H$158,3,0)</f>
        <v>Out</v>
      </c>
      <c r="H508" s="6" t="s">
        <v>1107</v>
      </c>
      <c r="I508" s="6" t="s">
        <v>1111</v>
      </c>
    </row>
    <row r="509" spans="1:9">
      <c r="A509" s="4">
        <v>1</v>
      </c>
      <c r="B509" s="5" t="s">
        <v>601</v>
      </c>
      <c r="C509" s="6">
        <v>9699</v>
      </c>
      <c r="D509" s="7">
        <v>1</v>
      </c>
      <c r="E509">
        <v>0.28649999999999998</v>
      </c>
      <c r="F509" s="1">
        <v>201</v>
      </c>
      <c r="G509" s="1" t="str">
        <f>VLOOKUP(F509,'Master(Ko Xóa)'!$F$2:$H$158,3,0)</f>
        <v>Out</v>
      </c>
      <c r="H509" s="6" t="s">
        <v>1107</v>
      </c>
      <c r="I509" s="6" t="s">
        <v>1111</v>
      </c>
    </row>
    <row r="510" spans="1:9">
      <c r="A510" s="4">
        <v>1</v>
      </c>
      <c r="B510" s="5" t="s">
        <v>602</v>
      </c>
      <c r="C510" s="6">
        <v>9699</v>
      </c>
      <c r="D510" s="7">
        <v>1</v>
      </c>
      <c r="E510">
        <v>2.1399999999999999E-2</v>
      </c>
      <c r="F510" s="1">
        <v>201</v>
      </c>
      <c r="G510" s="1" t="str">
        <f>VLOOKUP(F510,'Master(Ko Xóa)'!$F$2:$H$158,3,0)</f>
        <v>Out</v>
      </c>
      <c r="H510" s="6" t="s">
        <v>1107</v>
      </c>
      <c r="I510" s="6" t="s">
        <v>1111</v>
      </c>
    </row>
    <row r="511" spans="1:9">
      <c r="A511" s="4">
        <v>1</v>
      </c>
      <c r="B511" s="5" t="s">
        <v>603</v>
      </c>
      <c r="C511" s="6">
        <v>9699</v>
      </c>
      <c r="D511" s="7">
        <v>1</v>
      </c>
      <c r="E511">
        <v>1.30867</v>
      </c>
      <c r="F511" s="1">
        <v>201</v>
      </c>
      <c r="G511" s="1" t="str">
        <f>VLOOKUP(F511,'Master(Ko Xóa)'!$F$2:$H$158,3,0)</f>
        <v>Out</v>
      </c>
      <c r="H511" s="6" t="s">
        <v>1107</v>
      </c>
      <c r="I511" s="6" t="s">
        <v>1111</v>
      </c>
    </row>
    <row r="512" spans="1:9">
      <c r="A512" s="4">
        <v>1</v>
      </c>
      <c r="B512" s="5" t="s">
        <v>604</v>
      </c>
      <c r="C512" s="6">
        <v>9699</v>
      </c>
      <c r="D512" s="7">
        <v>1</v>
      </c>
      <c r="E512">
        <v>0.2535</v>
      </c>
      <c r="F512" s="1">
        <v>201</v>
      </c>
      <c r="G512" s="1" t="str">
        <f>VLOOKUP(F512,'Master(Ko Xóa)'!$F$2:$H$158,3,0)</f>
        <v>Out</v>
      </c>
      <c r="H512" s="6" t="s">
        <v>1107</v>
      </c>
      <c r="I512" s="6" t="s">
        <v>1111</v>
      </c>
    </row>
    <row r="513" spans="1:9">
      <c r="A513" s="4">
        <v>1</v>
      </c>
      <c r="B513" s="5" t="s">
        <v>605</v>
      </c>
      <c r="C513" s="6">
        <v>9699</v>
      </c>
      <c r="D513" s="7">
        <v>1</v>
      </c>
      <c r="E513">
        <v>0.42830000000000001</v>
      </c>
      <c r="F513" s="1">
        <v>201</v>
      </c>
      <c r="G513" s="1" t="str">
        <f>VLOOKUP(F513,'Master(Ko Xóa)'!$F$2:$H$158,3,0)</f>
        <v>Out</v>
      </c>
      <c r="H513" s="6" t="s">
        <v>1107</v>
      </c>
      <c r="I513" s="6" t="s">
        <v>1111</v>
      </c>
    </row>
    <row r="514" spans="1:9">
      <c r="A514" s="4">
        <v>1</v>
      </c>
      <c r="B514" s="5" t="s">
        <v>606</v>
      </c>
      <c r="C514" s="6">
        <v>9699</v>
      </c>
      <c r="D514" s="7">
        <v>1</v>
      </c>
      <c r="E514">
        <v>0.11527</v>
      </c>
      <c r="F514" s="1">
        <v>201</v>
      </c>
      <c r="G514" s="1" t="str">
        <f>VLOOKUP(F514,'Master(Ko Xóa)'!$F$2:$H$158,3,0)</f>
        <v>Out</v>
      </c>
      <c r="H514" s="6" t="s">
        <v>1107</v>
      </c>
      <c r="I514" s="6" t="s">
        <v>1111</v>
      </c>
    </row>
    <row r="515" spans="1:9">
      <c r="A515" s="4">
        <v>1</v>
      </c>
      <c r="B515" s="5" t="s">
        <v>294</v>
      </c>
      <c r="C515" s="6">
        <v>9699</v>
      </c>
      <c r="D515" s="7">
        <v>1</v>
      </c>
      <c r="E515">
        <v>0.42530000000000001</v>
      </c>
      <c r="F515" s="1">
        <v>201</v>
      </c>
      <c r="G515" s="1" t="str">
        <f>VLOOKUP(F515,'Master(Ko Xóa)'!$F$2:$H$158,3,0)</f>
        <v>Out</v>
      </c>
      <c r="H515" s="6" t="s">
        <v>1107</v>
      </c>
      <c r="I515" s="6" t="s">
        <v>1111</v>
      </c>
    </row>
    <row r="516" spans="1:9">
      <c r="A516" s="4">
        <v>1</v>
      </c>
      <c r="B516" s="5" t="s">
        <v>607</v>
      </c>
      <c r="C516" s="6">
        <v>9699</v>
      </c>
      <c r="D516" s="7">
        <v>1</v>
      </c>
      <c r="E516">
        <v>9.8000000000000004E-2</v>
      </c>
      <c r="F516" s="1">
        <v>201</v>
      </c>
      <c r="G516" s="1" t="str">
        <f>VLOOKUP(F516,'Master(Ko Xóa)'!$F$2:$H$158,3,0)</f>
        <v>Out</v>
      </c>
      <c r="H516" s="6" t="s">
        <v>1107</v>
      </c>
      <c r="I516" s="6" t="s">
        <v>1111</v>
      </c>
    </row>
    <row r="517" spans="1:9">
      <c r="A517" s="4">
        <v>1</v>
      </c>
      <c r="B517" s="5" t="s">
        <v>608</v>
      </c>
      <c r="C517" s="6">
        <v>9699</v>
      </c>
      <c r="D517" s="7">
        <v>1</v>
      </c>
      <c r="E517">
        <v>0.81200000000000006</v>
      </c>
      <c r="F517" s="1">
        <v>201</v>
      </c>
      <c r="G517" s="1" t="str">
        <f>VLOOKUP(F517,'Master(Ko Xóa)'!$F$2:$H$158,3,0)</f>
        <v>Out</v>
      </c>
      <c r="H517" s="6" t="s">
        <v>1107</v>
      </c>
      <c r="I517" s="6" t="s">
        <v>1111</v>
      </c>
    </row>
    <row r="518" spans="1:9">
      <c r="A518" s="4">
        <v>1</v>
      </c>
      <c r="B518" s="5" t="s">
        <v>609</v>
      </c>
      <c r="C518" s="6">
        <v>9699</v>
      </c>
      <c r="D518" s="7">
        <v>1</v>
      </c>
      <c r="E518">
        <v>5.7799999999999997E-2</v>
      </c>
      <c r="F518" s="1">
        <v>201</v>
      </c>
      <c r="G518" s="1" t="str">
        <f>VLOOKUP(F518,'Master(Ko Xóa)'!$F$2:$H$158,3,0)</f>
        <v>Out</v>
      </c>
      <c r="H518" s="6" t="s">
        <v>1107</v>
      </c>
      <c r="I518" s="6" t="s">
        <v>1111</v>
      </c>
    </row>
    <row r="519" spans="1:9">
      <c r="A519" s="4">
        <v>1</v>
      </c>
      <c r="B519" s="5" t="s">
        <v>610</v>
      </c>
      <c r="C519" s="6">
        <v>9699</v>
      </c>
      <c r="D519" s="7">
        <v>1</v>
      </c>
      <c r="E519">
        <v>0.18</v>
      </c>
      <c r="F519" s="1">
        <v>201</v>
      </c>
      <c r="G519" s="1" t="str">
        <f>VLOOKUP(F519,'Master(Ko Xóa)'!$F$2:$H$158,3,0)</f>
        <v>Out</v>
      </c>
      <c r="H519" s="6" t="s">
        <v>1107</v>
      </c>
      <c r="I519" s="6" t="s">
        <v>1111</v>
      </c>
    </row>
    <row r="520" spans="1:9">
      <c r="A520" s="4">
        <v>1</v>
      </c>
      <c r="B520" s="5" t="s">
        <v>611</v>
      </c>
      <c r="C520" s="6">
        <v>9699</v>
      </c>
      <c r="D520" s="7">
        <v>1</v>
      </c>
      <c r="E520">
        <v>4.5590000000000006E-2</v>
      </c>
      <c r="F520" s="1">
        <v>201</v>
      </c>
      <c r="G520" s="1" t="str">
        <f>VLOOKUP(F520,'Master(Ko Xóa)'!$F$2:$H$158,3,0)</f>
        <v>Out</v>
      </c>
      <c r="H520" s="6" t="s">
        <v>1107</v>
      </c>
      <c r="I520" s="6" t="s">
        <v>1111</v>
      </c>
    </row>
    <row r="521" spans="1:9">
      <c r="A521" s="4">
        <v>1</v>
      </c>
      <c r="B521" s="5" t="s">
        <v>612</v>
      </c>
      <c r="C521" s="6">
        <v>9699</v>
      </c>
      <c r="D521" s="7">
        <v>1</v>
      </c>
      <c r="E521">
        <v>0.247</v>
      </c>
      <c r="F521" s="1">
        <v>201</v>
      </c>
      <c r="G521" s="1" t="str">
        <f>VLOOKUP(F521,'Master(Ko Xóa)'!$F$2:$H$158,3,0)</f>
        <v>Out</v>
      </c>
      <c r="H521" s="6" t="s">
        <v>1107</v>
      </c>
      <c r="I521" s="6" t="s">
        <v>1111</v>
      </c>
    </row>
    <row r="522" spans="1:9">
      <c r="A522" s="4">
        <v>1</v>
      </c>
      <c r="B522" s="5" t="s">
        <v>613</v>
      </c>
      <c r="C522" s="6">
        <v>9699</v>
      </c>
      <c r="D522" s="7">
        <v>1</v>
      </c>
      <c r="E522">
        <v>0.88190999999999997</v>
      </c>
      <c r="F522" s="1">
        <v>201</v>
      </c>
      <c r="G522" s="1" t="str">
        <f>VLOOKUP(F522,'Master(Ko Xóa)'!$F$2:$H$158,3,0)</f>
        <v>Out</v>
      </c>
      <c r="H522" s="6" t="s">
        <v>1107</v>
      </c>
      <c r="I522" s="6" t="s">
        <v>1111</v>
      </c>
    </row>
    <row r="523" spans="1:9">
      <c r="A523" s="4">
        <v>1</v>
      </c>
      <c r="B523" s="5" t="s">
        <v>614</v>
      </c>
      <c r="C523" s="6">
        <v>9699</v>
      </c>
      <c r="D523" s="7">
        <v>1</v>
      </c>
      <c r="E523">
        <v>9.5000000000000001E-2</v>
      </c>
      <c r="F523" s="1">
        <v>201</v>
      </c>
      <c r="G523" s="1" t="str">
        <f>VLOOKUP(F523,'Master(Ko Xóa)'!$F$2:$H$158,3,0)</f>
        <v>Out</v>
      </c>
      <c r="H523" s="6" t="s">
        <v>1107</v>
      </c>
      <c r="I523" s="6" t="s">
        <v>1111</v>
      </c>
    </row>
    <row r="524" spans="1:9">
      <c r="A524" s="4">
        <v>1</v>
      </c>
      <c r="B524" s="5" t="s">
        <v>615</v>
      </c>
      <c r="C524" s="6">
        <v>9699</v>
      </c>
      <c r="D524" s="7">
        <v>1</v>
      </c>
      <c r="E524">
        <v>0.05</v>
      </c>
      <c r="F524" s="1">
        <v>201</v>
      </c>
      <c r="G524" s="1" t="str">
        <f>VLOOKUP(F524,'Master(Ko Xóa)'!$F$2:$H$158,3,0)</f>
        <v>Out</v>
      </c>
      <c r="H524" s="6" t="s">
        <v>1107</v>
      </c>
      <c r="I524" s="6" t="s">
        <v>1111</v>
      </c>
    </row>
    <row r="525" spans="1:9">
      <c r="A525" s="4">
        <v>1</v>
      </c>
      <c r="B525" s="5" t="s">
        <v>616</v>
      </c>
      <c r="C525" s="6">
        <v>9699</v>
      </c>
      <c r="D525" s="7">
        <v>1</v>
      </c>
      <c r="E525">
        <v>0.08</v>
      </c>
      <c r="F525" s="1">
        <v>201</v>
      </c>
      <c r="G525" s="1" t="str">
        <f>VLOOKUP(F525,'Master(Ko Xóa)'!$F$2:$H$158,3,0)</f>
        <v>Out</v>
      </c>
      <c r="H525" s="6" t="s">
        <v>1107</v>
      </c>
      <c r="I525" s="6" t="s">
        <v>1111</v>
      </c>
    </row>
    <row r="526" spans="1:9">
      <c r="A526" s="4">
        <v>1</v>
      </c>
      <c r="B526" s="5" t="s">
        <v>617</v>
      </c>
      <c r="C526" s="6">
        <v>9699</v>
      </c>
      <c r="D526" s="7">
        <v>1</v>
      </c>
      <c r="E526">
        <v>0.10047</v>
      </c>
      <c r="F526" s="1">
        <v>201</v>
      </c>
      <c r="G526" s="1" t="str">
        <f>VLOOKUP(F526,'Master(Ko Xóa)'!$F$2:$H$158,3,0)</f>
        <v>Out</v>
      </c>
      <c r="H526" s="6" t="s">
        <v>1107</v>
      </c>
      <c r="I526" s="6" t="s">
        <v>1111</v>
      </c>
    </row>
    <row r="527" spans="1:9">
      <c r="A527" s="4">
        <v>1</v>
      </c>
      <c r="B527" s="5" t="s">
        <v>618</v>
      </c>
      <c r="C527" s="6">
        <v>9699</v>
      </c>
      <c r="D527" s="7">
        <v>1</v>
      </c>
      <c r="E527">
        <v>0.15187</v>
      </c>
      <c r="F527" s="1">
        <v>201</v>
      </c>
      <c r="G527" s="1" t="str">
        <f>VLOOKUP(F527,'Master(Ko Xóa)'!$F$2:$H$158,3,0)</f>
        <v>Out</v>
      </c>
      <c r="H527" s="6" t="s">
        <v>1107</v>
      </c>
      <c r="I527" s="6" t="s">
        <v>1111</v>
      </c>
    </row>
    <row r="528" spans="1:9">
      <c r="A528" s="4">
        <v>1</v>
      </c>
      <c r="B528" s="5" t="s">
        <v>619</v>
      </c>
      <c r="C528" s="6">
        <v>9699</v>
      </c>
      <c r="D528" s="7">
        <v>1</v>
      </c>
      <c r="E528">
        <v>5.475E-2</v>
      </c>
      <c r="F528" s="1">
        <v>201</v>
      </c>
      <c r="G528" s="1" t="str">
        <f>VLOOKUP(F528,'Master(Ko Xóa)'!$F$2:$H$158,3,0)</f>
        <v>Out</v>
      </c>
      <c r="H528" s="6" t="s">
        <v>1107</v>
      </c>
      <c r="I528" s="6" t="s">
        <v>1111</v>
      </c>
    </row>
    <row r="529" spans="1:9">
      <c r="A529" s="4">
        <v>1</v>
      </c>
      <c r="B529" s="5" t="s">
        <v>620</v>
      </c>
      <c r="C529" s="6">
        <v>9699</v>
      </c>
      <c r="D529" s="7">
        <v>1</v>
      </c>
      <c r="E529">
        <v>0.22056000000000001</v>
      </c>
      <c r="F529" s="1">
        <v>201</v>
      </c>
      <c r="G529" s="1" t="str">
        <f>VLOOKUP(F529,'Master(Ko Xóa)'!$F$2:$H$158,3,0)</f>
        <v>Out</v>
      </c>
      <c r="H529" s="6" t="s">
        <v>1107</v>
      </c>
      <c r="I529" s="6" t="s">
        <v>1111</v>
      </c>
    </row>
    <row r="530" spans="1:9">
      <c r="A530" s="4">
        <v>1</v>
      </c>
      <c r="B530" s="5" t="s">
        <v>621</v>
      </c>
      <c r="C530" s="6">
        <v>9699</v>
      </c>
      <c r="D530" s="7">
        <v>1</v>
      </c>
      <c r="E530">
        <v>0.48401</v>
      </c>
      <c r="F530" s="1">
        <v>201</v>
      </c>
      <c r="G530" s="1" t="str">
        <f>VLOOKUP(F530,'Master(Ko Xóa)'!$F$2:$H$158,3,0)</f>
        <v>Out</v>
      </c>
      <c r="H530" s="6" t="s">
        <v>1107</v>
      </c>
      <c r="I530" s="6" t="s">
        <v>1111</v>
      </c>
    </row>
    <row r="531" spans="1:9">
      <c r="A531" s="4">
        <v>1</v>
      </c>
      <c r="B531" s="5" t="s">
        <v>622</v>
      </c>
      <c r="C531" s="6">
        <v>9699</v>
      </c>
      <c r="D531" s="7">
        <v>1</v>
      </c>
      <c r="E531">
        <v>0.87782000000000004</v>
      </c>
      <c r="F531" s="1">
        <v>201</v>
      </c>
      <c r="G531" s="1" t="str">
        <f>VLOOKUP(F531,'Master(Ko Xóa)'!$F$2:$H$158,3,0)</f>
        <v>Out</v>
      </c>
      <c r="H531" s="6" t="s">
        <v>1107</v>
      </c>
      <c r="I531" s="6" t="s">
        <v>1111</v>
      </c>
    </row>
    <row r="532" spans="1:9">
      <c r="A532" s="4">
        <v>1</v>
      </c>
      <c r="B532" s="5" t="s">
        <v>623</v>
      </c>
      <c r="C532" s="6">
        <v>9699</v>
      </c>
      <c r="D532" s="7">
        <v>1</v>
      </c>
      <c r="E532">
        <v>0.30801000000000001</v>
      </c>
      <c r="F532" s="1">
        <v>201</v>
      </c>
      <c r="G532" s="1" t="str">
        <f>VLOOKUP(F532,'Master(Ko Xóa)'!$F$2:$H$158,3,0)</f>
        <v>Out</v>
      </c>
      <c r="H532" s="6" t="s">
        <v>1107</v>
      </c>
      <c r="I532" s="6" t="s">
        <v>1111</v>
      </c>
    </row>
    <row r="533" spans="1:9">
      <c r="A533" s="4">
        <v>1</v>
      </c>
      <c r="B533" s="5" t="s">
        <v>624</v>
      </c>
      <c r="C533" s="6">
        <v>9699</v>
      </c>
      <c r="D533" s="7">
        <v>1</v>
      </c>
      <c r="E533">
        <v>0.41796</v>
      </c>
      <c r="F533" s="1">
        <v>201</v>
      </c>
      <c r="G533" s="1" t="str">
        <f>VLOOKUP(F533,'Master(Ko Xóa)'!$F$2:$H$158,3,0)</f>
        <v>Out</v>
      </c>
      <c r="H533" s="6" t="s">
        <v>1107</v>
      </c>
      <c r="I533" s="6" t="s">
        <v>1111</v>
      </c>
    </row>
    <row r="534" spans="1:9">
      <c r="A534" s="4">
        <v>1</v>
      </c>
      <c r="B534" s="5" t="s">
        <v>625</v>
      </c>
      <c r="C534" s="6">
        <v>9699</v>
      </c>
      <c r="D534" s="7">
        <v>1</v>
      </c>
      <c r="E534">
        <v>3.4341999999999997</v>
      </c>
      <c r="F534" s="1">
        <v>201</v>
      </c>
      <c r="G534" s="1" t="str">
        <f>VLOOKUP(F534,'Master(Ko Xóa)'!$F$2:$H$158,3,0)</f>
        <v>Out</v>
      </c>
      <c r="H534" s="6" t="s">
        <v>1107</v>
      </c>
      <c r="I534" s="6" t="s">
        <v>1111</v>
      </c>
    </row>
    <row r="535" spans="1:9">
      <c r="A535" s="4">
        <v>1</v>
      </c>
      <c r="B535" s="5" t="s">
        <v>626</v>
      </c>
      <c r="C535" s="6">
        <v>9699</v>
      </c>
      <c r="D535" s="7">
        <v>1</v>
      </c>
      <c r="E535">
        <v>1.6004400000000001</v>
      </c>
      <c r="F535" s="1">
        <v>201</v>
      </c>
      <c r="G535" s="1" t="str">
        <f>VLOOKUP(F535,'Master(Ko Xóa)'!$F$2:$H$158,3,0)</f>
        <v>Out</v>
      </c>
      <c r="H535" s="6" t="s">
        <v>1107</v>
      </c>
      <c r="I535" s="6" t="s">
        <v>1111</v>
      </c>
    </row>
    <row r="536" spans="1:9">
      <c r="A536" s="4">
        <v>1</v>
      </c>
      <c r="B536" s="5" t="s">
        <v>627</v>
      </c>
      <c r="C536" s="6">
        <v>9699</v>
      </c>
      <c r="D536" s="7">
        <v>2</v>
      </c>
      <c r="E536">
        <v>2.1233400000000002</v>
      </c>
      <c r="F536" s="1">
        <v>201</v>
      </c>
      <c r="G536" s="1" t="str">
        <f>VLOOKUP(F536,'Master(Ko Xóa)'!$F$2:$H$158,3,0)</f>
        <v>Out</v>
      </c>
      <c r="H536" s="6" t="s">
        <v>1107</v>
      </c>
      <c r="I536" s="6" t="s">
        <v>1111</v>
      </c>
    </row>
    <row r="537" spans="1:9">
      <c r="A537" s="4">
        <v>1</v>
      </c>
      <c r="B537" s="5" t="s">
        <v>628</v>
      </c>
      <c r="C537" s="6">
        <v>9699</v>
      </c>
      <c r="D537" s="7">
        <v>1</v>
      </c>
      <c r="E537">
        <v>4.5575100000000006</v>
      </c>
      <c r="F537" s="1">
        <v>201</v>
      </c>
      <c r="G537" s="1" t="str">
        <f>VLOOKUP(F537,'Master(Ko Xóa)'!$F$2:$H$158,3,0)</f>
        <v>Out</v>
      </c>
      <c r="H537" s="6" t="s">
        <v>1107</v>
      </c>
      <c r="I537" s="6" t="s">
        <v>1111</v>
      </c>
    </row>
    <row r="538" spans="1:9">
      <c r="A538" s="4">
        <v>1</v>
      </c>
      <c r="B538" s="5" t="s">
        <v>629</v>
      </c>
      <c r="C538" s="6">
        <v>9699</v>
      </c>
      <c r="D538" s="7">
        <v>1</v>
      </c>
      <c r="E538">
        <v>9.8000000000000004E-2</v>
      </c>
      <c r="F538" s="1">
        <v>201</v>
      </c>
      <c r="G538" s="1" t="str">
        <f>VLOOKUP(F538,'Master(Ko Xóa)'!$F$2:$H$158,3,0)</f>
        <v>Out</v>
      </c>
      <c r="H538" s="6" t="s">
        <v>1107</v>
      </c>
      <c r="I538" s="6" t="s">
        <v>1111</v>
      </c>
    </row>
    <row r="539" spans="1:9">
      <c r="A539" s="4">
        <v>1</v>
      </c>
      <c r="B539" s="5" t="s">
        <v>630</v>
      </c>
      <c r="C539" s="6">
        <v>9699</v>
      </c>
      <c r="D539" s="7">
        <v>3</v>
      </c>
      <c r="E539">
        <v>14.907780000000001</v>
      </c>
      <c r="F539" s="1">
        <v>201</v>
      </c>
      <c r="G539" s="1" t="str">
        <f>VLOOKUP(F539,'Master(Ko Xóa)'!$F$2:$H$158,3,0)</f>
        <v>Out</v>
      </c>
      <c r="H539" s="6" t="s">
        <v>1107</v>
      </c>
      <c r="I539" s="6" t="s">
        <v>1111</v>
      </c>
    </row>
    <row r="540" spans="1:9">
      <c r="A540" s="4">
        <v>1</v>
      </c>
      <c r="B540" s="5" t="s">
        <v>631</v>
      </c>
      <c r="C540" s="6">
        <v>9699</v>
      </c>
      <c r="D540" s="7">
        <v>2</v>
      </c>
      <c r="E540">
        <v>9.9385200000000005</v>
      </c>
      <c r="F540" s="1">
        <v>201</v>
      </c>
      <c r="G540" s="1" t="str">
        <f>VLOOKUP(F540,'Master(Ko Xóa)'!$F$2:$H$158,3,0)</f>
        <v>Out</v>
      </c>
      <c r="H540" s="6" t="s">
        <v>1107</v>
      </c>
      <c r="I540" s="6" t="s">
        <v>1111</v>
      </c>
    </row>
    <row r="541" spans="1:9">
      <c r="A541" s="4">
        <v>1</v>
      </c>
      <c r="B541" s="5" t="s">
        <v>632</v>
      </c>
      <c r="C541" s="6">
        <v>9699</v>
      </c>
      <c r="D541" s="7">
        <v>1</v>
      </c>
      <c r="E541">
        <v>0.16159999999999999</v>
      </c>
      <c r="F541" s="1">
        <v>201</v>
      </c>
      <c r="G541" s="1" t="str">
        <f>VLOOKUP(F541,'Master(Ko Xóa)'!$F$2:$H$158,3,0)</f>
        <v>Out</v>
      </c>
      <c r="H541" s="6" t="s">
        <v>1107</v>
      </c>
      <c r="I541" s="6" t="s">
        <v>1111</v>
      </c>
    </row>
    <row r="542" spans="1:9">
      <c r="A542" s="4">
        <v>1</v>
      </c>
      <c r="B542" s="5" t="s">
        <v>633</v>
      </c>
      <c r="C542" s="6">
        <v>9699</v>
      </c>
      <c r="D542" s="7">
        <v>2</v>
      </c>
      <c r="E542">
        <v>2.0680000000000001</v>
      </c>
      <c r="F542" s="1">
        <v>201</v>
      </c>
      <c r="G542" s="1" t="str">
        <f>VLOOKUP(F542,'Master(Ko Xóa)'!$F$2:$H$158,3,0)</f>
        <v>Out</v>
      </c>
      <c r="H542" s="6" t="s">
        <v>1107</v>
      </c>
      <c r="I542" s="6" t="s">
        <v>1111</v>
      </c>
    </row>
    <row r="543" spans="1:9">
      <c r="A543" s="4">
        <v>1</v>
      </c>
      <c r="B543" s="5" t="s">
        <v>634</v>
      </c>
      <c r="C543" s="6">
        <v>9699</v>
      </c>
      <c r="D543" s="7">
        <v>10</v>
      </c>
      <c r="E543">
        <v>1.2825</v>
      </c>
      <c r="F543" s="1">
        <v>201</v>
      </c>
      <c r="G543" s="1" t="str">
        <f>VLOOKUP(F543,'Master(Ko Xóa)'!$F$2:$H$158,3,0)</f>
        <v>Out</v>
      </c>
      <c r="H543" s="6" t="s">
        <v>1107</v>
      </c>
      <c r="I543" s="6" t="s">
        <v>1111</v>
      </c>
    </row>
    <row r="544" spans="1:9">
      <c r="A544" s="4">
        <v>1</v>
      </c>
      <c r="B544" s="5" t="s">
        <v>635</v>
      </c>
      <c r="C544" s="6">
        <v>9699</v>
      </c>
      <c r="D544" s="7">
        <v>2</v>
      </c>
      <c r="E544">
        <v>2.2568999999999999</v>
      </c>
      <c r="F544" s="1">
        <v>201</v>
      </c>
      <c r="G544" s="1" t="str">
        <f>VLOOKUP(F544,'Master(Ko Xóa)'!$F$2:$H$158,3,0)</f>
        <v>Out</v>
      </c>
      <c r="H544" s="6" t="s">
        <v>1107</v>
      </c>
      <c r="I544" s="6" t="s">
        <v>1111</v>
      </c>
    </row>
    <row r="545" spans="1:9">
      <c r="A545" s="4">
        <v>1</v>
      </c>
      <c r="B545" s="5" t="s">
        <v>636</v>
      </c>
      <c r="C545" s="6">
        <v>9699</v>
      </c>
      <c r="D545" s="7">
        <v>2</v>
      </c>
      <c r="E545">
        <v>3.008</v>
      </c>
      <c r="F545" s="1">
        <v>201</v>
      </c>
      <c r="G545" s="1" t="str">
        <f>VLOOKUP(F545,'Master(Ko Xóa)'!$F$2:$H$158,3,0)</f>
        <v>Out</v>
      </c>
      <c r="H545" s="6" t="s">
        <v>1107</v>
      </c>
      <c r="I545" s="6" t="s">
        <v>1111</v>
      </c>
    </row>
    <row r="546" spans="1:9">
      <c r="A546" s="4">
        <v>1</v>
      </c>
      <c r="B546" s="5" t="s">
        <v>637</v>
      </c>
      <c r="C546" s="6">
        <v>9699</v>
      </c>
      <c r="D546" s="7">
        <v>1</v>
      </c>
      <c r="E546">
        <v>4.51546</v>
      </c>
      <c r="F546" s="1">
        <v>201</v>
      </c>
      <c r="G546" s="1" t="str">
        <f>VLOOKUP(F546,'Master(Ko Xóa)'!$F$2:$H$158,3,0)</f>
        <v>Out</v>
      </c>
      <c r="H546" s="6" t="s">
        <v>1107</v>
      </c>
      <c r="I546" s="6" t="s">
        <v>1111</v>
      </c>
    </row>
    <row r="547" spans="1:9">
      <c r="A547" s="4">
        <v>1</v>
      </c>
      <c r="B547" s="5" t="s">
        <v>638</v>
      </c>
      <c r="C547" s="6">
        <v>9699</v>
      </c>
      <c r="D547" s="7">
        <v>1</v>
      </c>
      <c r="E547">
        <v>3.5000000000000001E-3</v>
      </c>
      <c r="F547" s="1">
        <v>201</v>
      </c>
      <c r="G547" s="1" t="str">
        <f>VLOOKUP(F547,'Master(Ko Xóa)'!$F$2:$H$158,3,0)</f>
        <v>Out</v>
      </c>
      <c r="H547" s="6" t="s">
        <v>1107</v>
      </c>
      <c r="I547" s="6" t="s">
        <v>1111</v>
      </c>
    </row>
    <row r="548" spans="1:9">
      <c r="A548" s="4">
        <v>1</v>
      </c>
      <c r="B548" s="5" t="s">
        <v>639</v>
      </c>
      <c r="C548" s="6">
        <v>9699</v>
      </c>
      <c r="D548" s="7">
        <v>1</v>
      </c>
      <c r="E548">
        <v>4.2000000000000006E-3</v>
      </c>
      <c r="F548" s="1">
        <v>201</v>
      </c>
      <c r="G548" s="1" t="str">
        <f>VLOOKUP(F548,'Master(Ko Xóa)'!$F$2:$H$158,3,0)</f>
        <v>Out</v>
      </c>
      <c r="H548" s="6" t="s">
        <v>1107</v>
      </c>
      <c r="I548" s="6" t="s">
        <v>1111</v>
      </c>
    </row>
    <row r="549" spans="1:9">
      <c r="A549" s="4">
        <v>1</v>
      </c>
      <c r="B549" s="5" t="s">
        <v>640</v>
      </c>
      <c r="C549" s="6">
        <v>9699</v>
      </c>
      <c r="D549" s="7">
        <v>1</v>
      </c>
      <c r="E549">
        <v>4.3E-3</v>
      </c>
      <c r="F549" s="1">
        <v>201</v>
      </c>
      <c r="G549" s="1" t="str">
        <f>VLOOKUP(F549,'Master(Ko Xóa)'!$F$2:$H$158,3,0)</f>
        <v>Out</v>
      </c>
      <c r="H549" s="6" t="s">
        <v>1107</v>
      </c>
      <c r="I549" s="6" t="s">
        <v>1111</v>
      </c>
    </row>
    <row r="550" spans="1:9">
      <c r="A550" s="4">
        <v>1</v>
      </c>
      <c r="B550" s="5" t="s">
        <v>641</v>
      </c>
      <c r="C550" s="6">
        <v>9699</v>
      </c>
      <c r="D550" s="7">
        <v>1</v>
      </c>
      <c r="E550">
        <v>0.17269999999999999</v>
      </c>
      <c r="F550" s="1">
        <v>201</v>
      </c>
      <c r="G550" s="1" t="str">
        <f>VLOOKUP(F550,'Master(Ko Xóa)'!$F$2:$H$158,3,0)</f>
        <v>Out</v>
      </c>
      <c r="H550" s="6" t="s">
        <v>1107</v>
      </c>
      <c r="I550" s="6" t="s">
        <v>1111</v>
      </c>
    </row>
    <row r="551" spans="1:9">
      <c r="A551" s="4">
        <v>1</v>
      </c>
      <c r="B551" s="5" t="s">
        <v>642</v>
      </c>
      <c r="C551" s="6">
        <v>9699</v>
      </c>
      <c r="D551" s="7">
        <v>1</v>
      </c>
      <c r="E551">
        <v>0.44780000000000003</v>
      </c>
      <c r="F551" s="1">
        <v>201</v>
      </c>
      <c r="G551" s="1" t="str">
        <f>VLOOKUP(F551,'Master(Ko Xóa)'!$F$2:$H$158,3,0)</f>
        <v>Out</v>
      </c>
      <c r="H551" s="6" t="s">
        <v>1107</v>
      </c>
      <c r="I551" s="6" t="s">
        <v>1111</v>
      </c>
    </row>
    <row r="552" spans="1:9">
      <c r="A552" s="4">
        <v>1</v>
      </c>
      <c r="B552" s="5" t="s">
        <v>643</v>
      </c>
      <c r="C552" s="6">
        <v>9699</v>
      </c>
      <c r="D552" s="7">
        <v>1</v>
      </c>
      <c r="E552">
        <v>0.1172</v>
      </c>
      <c r="F552" s="1">
        <v>201</v>
      </c>
      <c r="G552" s="1" t="str">
        <f>VLOOKUP(F552,'Master(Ko Xóa)'!$F$2:$H$158,3,0)</f>
        <v>Out</v>
      </c>
      <c r="H552" s="6" t="s">
        <v>1107</v>
      </c>
      <c r="I552" s="6" t="s">
        <v>1111</v>
      </c>
    </row>
    <row r="553" spans="1:9">
      <c r="A553" s="4">
        <v>1</v>
      </c>
      <c r="B553" s="5" t="s">
        <v>644</v>
      </c>
      <c r="C553" s="6">
        <v>9699</v>
      </c>
      <c r="D553" s="7">
        <v>1</v>
      </c>
      <c r="E553">
        <v>0.70014999999999994</v>
      </c>
      <c r="F553" s="1">
        <v>201</v>
      </c>
      <c r="G553" s="1" t="str">
        <f>VLOOKUP(F553,'Master(Ko Xóa)'!$F$2:$H$158,3,0)</f>
        <v>Out</v>
      </c>
      <c r="H553" s="6" t="s">
        <v>1107</v>
      </c>
      <c r="I553" s="6" t="s">
        <v>1111</v>
      </c>
    </row>
    <row r="554" spans="1:9">
      <c r="A554" s="4">
        <v>1</v>
      </c>
      <c r="B554" s="5" t="s">
        <v>645</v>
      </c>
      <c r="C554" s="6">
        <v>9699</v>
      </c>
      <c r="D554" s="7">
        <v>1</v>
      </c>
      <c r="E554">
        <v>10</v>
      </c>
      <c r="F554" s="1">
        <v>201</v>
      </c>
      <c r="G554" s="1" t="str">
        <f>VLOOKUP(F554,'Master(Ko Xóa)'!$F$2:$H$158,3,0)</f>
        <v>Out</v>
      </c>
      <c r="H554" s="6" t="s">
        <v>1107</v>
      </c>
      <c r="I554" s="6" t="s">
        <v>1111</v>
      </c>
    </row>
    <row r="555" spans="1:9">
      <c r="A555" s="4">
        <v>1</v>
      </c>
      <c r="B555" s="5" t="s">
        <v>646</v>
      </c>
      <c r="C555" s="6">
        <v>9699</v>
      </c>
      <c r="D555" s="7">
        <v>4</v>
      </c>
      <c r="E555">
        <v>18.308</v>
      </c>
      <c r="F555" s="1">
        <v>201</v>
      </c>
      <c r="G555" s="1" t="str">
        <f>VLOOKUP(F555,'Master(Ko Xóa)'!$F$2:$H$158,3,0)</f>
        <v>Out</v>
      </c>
      <c r="H555" s="6" t="s">
        <v>1107</v>
      </c>
      <c r="I555" s="6" t="s">
        <v>1111</v>
      </c>
    </row>
    <row r="556" spans="1:9">
      <c r="A556" s="4">
        <v>1</v>
      </c>
      <c r="B556" s="5" t="s">
        <v>647</v>
      </c>
      <c r="C556" s="6">
        <v>9699</v>
      </c>
      <c r="D556" s="7">
        <v>1</v>
      </c>
      <c r="E556">
        <v>5.7299999999999997E-2</v>
      </c>
      <c r="F556" s="1">
        <v>201</v>
      </c>
      <c r="G556" s="1" t="str">
        <f>VLOOKUP(F556,'Master(Ko Xóa)'!$F$2:$H$158,3,0)</f>
        <v>Out</v>
      </c>
      <c r="H556" s="6" t="s">
        <v>1107</v>
      </c>
      <c r="I556" s="6" t="s">
        <v>1111</v>
      </c>
    </row>
    <row r="557" spans="1:9">
      <c r="A557" s="4">
        <v>1</v>
      </c>
      <c r="B557" s="5" t="s">
        <v>648</v>
      </c>
      <c r="C557" s="6">
        <v>9699</v>
      </c>
      <c r="D557" s="7">
        <v>1</v>
      </c>
      <c r="E557">
        <v>0.17580000000000001</v>
      </c>
      <c r="F557" s="1">
        <v>201</v>
      </c>
      <c r="G557" s="1" t="str">
        <f>VLOOKUP(F557,'Master(Ko Xóa)'!$F$2:$H$158,3,0)</f>
        <v>Out</v>
      </c>
      <c r="H557" s="6" t="s">
        <v>1107</v>
      </c>
      <c r="I557" s="6" t="s">
        <v>1111</v>
      </c>
    </row>
    <row r="558" spans="1:9">
      <c r="A558" s="4">
        <v>1</v>
      </c>
      <c r="B558" s="5" t="s">
        <v>649</v>
      </c>
      <c r="C558" s="6">
        <v>9699</v>
      </c>
      <c r="D558" s="7">
        <v>1</v>
      </c>
      <c r="E558">
        <v>3.1E-2</v>
      </c>
      <c r="F558" s="1">
        <v>201</v>
      </c>
      <c r="G558" s="1" t="str">
        <f>VLOOKUP(F558,'Master(Ko Xóa)'!$F$2:$H$158,3,0)</f>
        <v>Out</v>
      </c>
      <c r="H558" s="6" t="s">
        <v>1107</v>
      </c>
      <c r="I558" s="6" t="s">
        <v>1111</v>
      </c>
    </row>
    <row r="559" spans="1:9">
      <c r="A559" s="4">
        <v>1</v>
      </c>
      <c r="B559" s="5" t="s">
        <v>650</v>
      </c>
      <c r="C559" s="6">
        <v>9699</v>
      </c>
      <c r="D559" s="7">
        <v>1</v>
      </c>
      <c r="E559">
        <v>9.6000000000000002E-2</v>
      </c>
      <c r="F559" s="1">
        <v>201</v>
      </c>
      <c r="G559" s="1" t="str">
        <f>VLOOKUP(F559,'Master(Ko Xóa)'!$F$2:$H$158,3,0)</f>
        <v>Out</v>
      </c>
      <c r="H559" s="6" t="s">
        <v>1107</v>
      </c>
      <c r="I559" s="6" t="s">
        <v>1111</v>
      </c>
    </row>
    <row r="560" spans="1:9">
      <c r="A560" s="4">
        <v>1</v>
      </c>
      <c r="B560" s="5" t="s">
        <v>651</v>
      </c>
      <c r="C560" s="6">
        <v>9699</v>
      </c>
      <c r="D560" s="7">
        <v>1</v>
      </c>
      <c r="E560">
        <v>5.3999999999999999E-2</v>
      </c>
      <c r="F560" s="1">
        <v>201</v>
      </c>
      <c r="G560" s="1" t="str">
        <f>VLOOKUP(F560,'Master(Ko Xóa)'!$F$2:$H$158,3,0)</f>
        <v>Out</v>
      </c>
      <c r="H560" s="6" t="s">
        <v>1107</v>
      </c>
      <c r="I560" s="6" t="s">
        <v>1111</v>
      </c>
    </row>
    <row r="561" spans="1:9">
      <c r="A561" s="4">
        <v>1</v>
      </c>
      <c r="B561" s="5" t="s">
        <v>652</v>
      </c>
      <c r="C561" s="6">
        <v>9699</v>
      </c>
      <c r="D561" s="7">
        <v>1</v>
      </c>
      <c r="E561">
        <v>4.777E-2</v>
      </c>
      <c r="F561" s="1">
        <v>201</v>
      </c>
      <c r="G561" s="1" t="str">
        <f>VLOOKUP(F561,'Master(Ko Xóa)'!$F$2:$H$158,3,0)</f>
        <v>Out</v>
      </c>
      <c r="H561" s="6" t="s">
        <v>1107</v>
      </c>
      <c r="I561" s="6" t="s">
        <v>1111</v>
      </c>
    </row>
    <row r="562" spans="1:9">
      <c r="A562" s="4">
        <v>1</v>
      </c>
      <c r="B562" s="5" t="s">
        <v>653</v>
      </c>
      <c r="C562" s="6">
        <v>9699</v>
      </c>
      <c r="D562" s="7">
        <v>1</v>
      </c>
      <c r="E562">
        <v>0.47505999999999998</v>
      </c>
      <c r="F562" s="1">
        <v>201</v>
      </c>
      <c r="G562" s="1" t="str">
        <f>VLOOKUP(F562,'Master(Ko Xóa)'!$F$2:$H$158,3,0)</f>
        <v>Out</v>
      </c>
      <c r="H562" s="6" t="s">
        <v>1107</v>
      </c>
      <c r="I562" s="6" t="s">
        <v>1111</v>
      </c>
    </row>
    <row r="563" spans="1:9">
      <c r="A563" s="4">
        <v>1</v>
      </c>
      <c r="B563" s="5" t="s">
        <v>654</v>
      </c>
      <c r="C563" s="6">
        <v>9699</v>
      </c>
      <c r="D563" s="7">
        <v>1</v>
      </c>
      <c r="E563">
        <v>0.24399999999999999</v>
      </c>
      <c r="F563" s="1">
        <v>201</v>
      </c>
      <c r="G563" s="1" t="str">
        <f>VLOOKUP(F563,'Master(Ko Xóa)'!$F$2:$H$158,3,0)</f>
        <v>Out</v>
      </c>
      <c r="H563" s="6" t="s">
        <v>1107</v>
      </c>
      <c r="I563" s="6" t="s">
        <v>1111</v>
      </c>
    </row>
    <row r="564" spans="1:9">
      <c r="A564" s="4">
        <v>1</v>
      </c>
      <c r="B564" s="5" t="s">
        <v>655</v>
      </c>
      <c r="C564" s="6">
        <v>9699</v>
      </c>
      <c r="D564" s="7">
        <v>1</v>
      </c>
      <c r="E564">
        <v>0.2863</v>
      </c>
      <c r="F564" s="1">
        <v>201</v>
      </c>
      <c r="G564" s="1" t="str">
        <f>VLOOKUP(F564,'Master(Ko Xóa)'!$F$2:$H$158,3,0)</f>
        <v>Out</v>
      </c>
      <c r="H564" s="6" t="s">
        <v>1107</v>
      </c>
      <c r="I564" s="6" t="s">
        <v>1111</v>
      </c>
    </row>
    <row r="565" spans="1:9">
      <c r="A565" s="4">
        <v>1</v>
      </c>
      <c r="B565" s="5" t="s">
        <v>656</v>
      </c>
      <c r="C565" s="6">
        <v>9699</v>
      </c>
      <c r="D565" s="7">
        <v>1</v>
      </c>
      <c r="E565">
        <v>0.48980000000000001</v>
      </c>
      <c r="F565" s="1">
        <v>201</v>
      </c>
      <c r="G565" s="1" t="str">
        <f>VLOOKUP(F565,'Master(Ko Xóa)'!$F$2:$H$158,3,0)</f>
        <v>Out</v>
      </c>
      <c r="H565" s="6" t="s">
        <v>1107</v>
      </c>
      <c r="I565" s="6" t="s">
        <v>1111</v>
      </c>
    </row>
    <row r="566" spans="1:9">
      <c r="A566" s="4">
        <v>1</v>
      </c>
      <c r="B566" s="5" t="s">
        <v>657</v>
      </c>
      <c r="C566" s="6">
        <v>9699</v>
      </c>
      <c r="D566" s="7">
        <v>1</v>
      </c>
      <c r="E566">
        <v>0.22863999999999998</v>
      </c>
      <c r="F566" s="1">
        <v>201</v>
      </c>
      <c r="G566" s="1" t="str">
        <f>VLOOKUP(F566,'Master(Ko Xóa)'!$F$2:$H$158,3,0)</f>
        <v>Out</v>
      </c>
      <c r="H566" s="6" t="s">
        <v>1107</v>
      </c>
      <c r="I566" s="6" t="s">
        <v>1111</v>
      </c>
    </row>
    <row r="567" spans="1:9">
      <c r="A567" s="4">
        <v>1</v>
      </c>
      <c r="B567" s="5" t="s">
        <v>658</v>
      </c>
      <c r="C567" s="6">
        <v>9699</v>
      </c>
      <c r="D567" s="7">
        <v>1</v>
      </c>
      <c r="E567">
        <v>1.2383</v>
      </c>
      <c r="F567" s="1">
        <v>201</v>
      </c>
      <c r="G567" s="1" t="str">
        <f>VLOOKUP(F567,'Master(Ko Xóa)'!$F$2:$H$158,3,0)</f>
        <v>Out</v>
      </c>
      <c r="H567" s="6" t="s">
        <v>1107</v>
      </c>
      <c r="I567" s="6" t="s">
        <v>1111</v>
      </c>
    </row>
    <row r="568" spans="1:9">
      <c r="A568" s="4">
        <v>1</v>
      </c>
      <c r="B568" s="5" t="s">
        <v>659</v>
      </c>
      <c r="C568" s="6">
        <v>9699</v>
      </c>
      <c r="D568" s="7">
        <v>1</v>
      </c>
      <c r="E568">
        <v>0.30880000000000002</v>
      </c>
      <c r="F568" s="1">
        <v>201</v>
      </c>
      <c r="G568" s="1" t="str">
        <f>VLOOKUP(F568,'Master(Ko Xóa)'!$F$2:$H$158,3,0)</f>
        <v>Out</v>
      </c>
      <c r="H568" s="6" t="s">
        <v>1107</v>
      </c>
      <c r="I568" s="6" t="s">
        <v>1111</v>
      </c>
    </row>
    <row r="569" spans="1:9">
      <c r="A569" s="4">
        <v>1</v>
      </c>
      <c r="B569" s="5" t="s">
        <v>660</v>
      </c>
      <c r="C569" s="6">
        <v>9699</v>
      </c>
      <c r="D569" s="7">
        <v>1</v>
      </c>
      <c r="E569">
        <v>3.5000000000000003E-2</v>
      </c>
      <c r="F569" s="1">
        <v>201</v>
      </c>
      <c r="G569" s="1" t="str">
        <f>VLOOKUP(F569,'Master(Ko Xóa)'!$F$2:$H$158,3,0)</f>
        <v>Out</v>
      </c>
      <c r="H569" s="6" t="s">
        <v>1107</v>
      </c>
      <c r="I569" s="6" t="s">
        <v>1111</v>
      </c>
    </row>
    <row r="570" spans="1:9">
      <c r="A570" s="4">
        <v>1</v>
      </c>
      <c r="B570" s="5" t="s">
        <v>661</v>
      </c>
      <c r="C570" s="6">
        <v>9699</v>
      </c>
      <c r="D570" s="7">
        <v>1</v>
      </c>
      <c r="E570">
        <v>0.15</v>
      </c>
      <c r="F570" s="1">
        <v>201</v>
      </c>
      <c r="G570" s="1" t="str">
        <f>VLOOKUP(F570,'Master(Ko Xóa)'!$F$2:$H$158,3,0)</f>
        <v>Out</v>
      </c>
      <c r="H570" s="6" t="s">
        <v>1107</v>
      </c>
      <c r="I570" s="6" t="s">
        <v>1111</v>
      </c>
    </row>
    <row r="571" spans="1:9">
      <c r="A571" s="4">
        <v>1</v>
      </c>
      <c r="B571" s="5" t="s">
        <v>662</v>
      </c>
      <c r="C571" s="6">
        <v>9699</v>
      </c>
      <c r="D571" s="7">
        <v>2</v>
      </c>
      <c r="E571">
        <v>0.1018</v>
      </c>
      <c r="F571" s="1">
        <v>201</v>
      </c>
      <c r="G571" s="1" t="str">
        <f>VLOOKUP(F571,'Master(Ko Xóa)'!$F$2:$H$158,3,0)</f>
        <v>Out</v>
      </c>
      <c r="H571" s="6" t="s">
        <v>1107</v>
      </c>
      <c r="I571" s="6" t="s">
        <v>1111</v>
      </c>
    </row>
    <row r="572" spans="1:9">
      <c r="A572" s="4">
        <v>1</v>
      </c>
      <c r="B572" s="5" t="s">
        <v>663</v>
      </c>
      <c r="C572" s="6">
        <v>9699</v>
      </c>
      <c r="D572" s="7">
        <v>1</v>
      </c>
      <c r="E572">
        <v>0.2</v>
      </c>
      <c r="F572" s="1">
        <v>201</v>
      </c>
      <c r="G572" s="1" t="str">
        <f>VLOOKUP(F572,'Master(Ko Xóa)'!$F$2:$H$158,3,0)</f>
        <v>Out</v>
      </c>
      <c r="H572" s="6" t="s">
        <v>1107</v>
      </c>
      <c r="I572" s="6" t="s">
        <v>1111</v>
      </c>
    </row>
    <row r="573" spans="1:9">
      <c r="A573" s="4">
        <v>1</v>
      </c>
      <c r="B573" s="5" t="s">
        <v>664</v>
      </c>
      <c r="C573" s="6">
        <v>9699</v>
      </c>
      <c r="D573" s="7">
        <v>1</v>
      </c>
      <c r="E573">
        <v>0.16600000000000001</v>
      </c>
      <c r="F573" s="1">
        <v>201</v>
      </c>
      <c r="G573" s="1" t="str">
        <f>VLOOKUP(F573,'Master(Ko Xóa)'!$F$2:$H$158,3,0)</f>
        <v>Out</v>
      </c>
      <c r="H573" s="6" t="s">
        <v>1107</v>
      </c>
      <c r="I573" s="6" t="s">
        <v>1111</v>
      </c>
    </row>
    <row r="574" spans="1:9">
      <c r="A574" s="4">
        <v>1</v>
      </c>
      <c r="B574" s="5" t="s">
        <v>665</v>
      </c>
      <c r="C574" s="6">
        <v>9699</v>
      </c>
      <c r="D574" s="7">
        <v>1</v>
      </c>
      <c r="E574">
        <v>0.31836000000000003</v>
      </c>
      <c r="F574" s="1">
        <v>201</v>
      </c>
      <c r="G574" s="1" t="str">
        <f>VLOOKUP(F574,'Master(Ko Xóa)'!$F$2:$H$158,3,0)</f>
        <v>Out</v>
      </c>
      <c r="H574" s="6" t="s">
        <v>1107</v>
      </c>
      <c r="I574" s="6" t="s">
        <v>1111</v>
      </c>
    </row>
    <row r="575" spans="1:9">
      <c r="A575" s="4">
        <v>1</v>
      </c>
      <c r="B575" s="5" t="s">
        <v>666</v>
      </c>
      <c r="C575" s="6">
        <v>9699</v>
      </c>
      <c r="D575" s="7">
        <v>1</v>
      </c>
      <c r="E575">
        <v>0.76</v>
      </c>
      <c r="F575" s="1">
        <v>201</v>
      </c>
      <c r="G575" s="1" t="str">
        <f>VLOOKUP(F575,'Master(Ko Xóa)'!$F$2:$H$158,3,0)</f>
        <v>Out</v>
      </c>
      <c r="H575" s="6" t="s">
        <v>1107</v>
      </c>
      <c r="I575" s="6" t="s">
        <v>1111</v>
      </c>
    </row>
    <row r="576" spans="1:9">
      <c r="A576" s="4">
        <v>1</v>
      </c>
      <c r="B576" s="5" t="s">
        <v>667</v>
      </c>
      <c r="C576" s="6">
        <v>9699</v>
      </c>
      <c r="D576" s="7">
        <v>2</v>
      </c>
      <c r="E576">
        <v>3.6748600000000002</v>
      </c>
      <c r="F576" s="1">
        <v>201</v>
      </c>
      <c r="G576" s="1" t="str">
        <f>VLOOKUP(F576,'Master(Ko Xóa)'!$F$2:$H$158,3,0)</f>
        <v>Out</v>
      </c>
      <c r="H576" s="6" t="s">
        <v>1107</v>
      </c>
      <c r="I576" s="6" t="s">
        <v>1111</v>
      </c>
    </row>
    <row r="577" spans="1:9">
      <c r="A577" s="4">
        <v>1</v>
      </c>
      <c r="B577" s="5" t="s">
        <v>668</v>
      </c>
      <c r="C577" s="6">
        <v>9699</v>
      </c>
      <c r="D577" s="7">
        <v>1</v>
      </c>
      <c r="E577">
        <v>0.46</v>
      </c>
      <c r="F577" s="1">
        <v>201</v>
      </c>
      <c r="G577" s="1" t="str">
        <f>VLOOKUP(F577,'Master(Ko Xóa)'!$F$2:$H$158,3,0)</f>
        <v>Out</v>
      </c>
      <c r="H577" s="6" t="s">
        <v>1107</v>
      </c>
      <c r="I577" s="6" t="s">
        <v>1111</v>
      </c>
    </row>
    <row r="578" spans="1:9">
      <c r="A578" s="4">
        <v>1</v>
      </c>
      <c r="B578" s="5" t="s">
        <v>669</v>
      </c>
      <c r="C578" s="6">
        <v>9699</v>
      </c>
      <c r="D578" s="7">
        <v>1</v>
      </c>
      <c r="E578">
        <v>0.22469999999999998</v>
      </c>
      <c r="F578" s="1">
        <v>201</v>
      </c>
      <c r="G578" s="1" t="str">
        <f>VLOOKUP(F578,'Master(Ko Xóa)'!$F$2:$H$158,3,0)</f>
        <v>Out</v>
      </c>
      <c r="H578" s="6" t="s">
        <v>1107</v>
      </c>
      <c r="I578" s="6" t="s">
        <v>1111</v>
      </c>
    </row>
    <row r="579" spans="1:9">
      <c r="A579" s="4">
        <v>1</v>
      </c>
      <c r="B579" s="5" t="s">
        <v>670</v>
      </c>
      <c r="C579" s="6">
        <v>9699</v>
      </c>
      <c r="D579" s="7">
        <v>2</v>
      </c>
      <c r="E579">
        <v>1.1324000000000001</v>
      </c>
      <c r="F579" s="1">
        <v>201</v>
      </c>
      <c r="G579" s="1" t="str">
        <f>VLOOKUP(F579,'Master(Ko Xóa)'!$F$2:$H$158,3,0)</f>
        <v>Out</v>
      </c>
      <c r="H579" s="6" t="s">
        <v>1107</v>
      </c>
      <c r="I579" s="6" t="s">
        <v>1111</v>
      </c>
    </row>
    <row r="580" spans="1:9">
      <c r="A580" s="4">
        <v>1</v>
      </c>
      <c r="B580" s="5" t="s">
        <v>671</v>
      </c>
      <c r="C580" s="6">
        <v>9699</v>
      </c>
      <c r="D580" s="7">
        <v>1</v>
      </c>
      <c r="E580">
        <v>0.49199999999999999</v>
      </c>
      <c r="F580" s="1">
        <v>201</v>
      </c>
      <c r="G580" s="1" t="str">
        <f>VLOOKUP(F580,'Master(Ko Xóa)'!$F$2:$H$158,3,0)</f>
        <v>Out</v>
      </c>
      <c r="H580" s="6" t="s">
        <v>1107</v>
      </c>
      <c r="I580" s="6" t="s">
        <v>1111</v>
      </c>
    </row>
    <row r="581" spans="1:9">
      <c r="A581" s="4">
        <v>1</v>
      </c>
      <c r="B581" s="5" t="s">
        <v>672</v>
      </c>
      <c r="C581" s="6">
        <v>9699</v>
      </c>
      <c r="D581" s="7">
        <v>2</v>
      </c>
      <c r="E581">
        <v>1.0472000000000001</v>
      </c>
      <c r="F581" s="1">
        <v>201</v>
      </c>
      <c r="G581" s="1" t="str">
        <f>VLOOKUP(F581,'Master(Ko Xóa)'!$F$2:$H$158,3,0)</f>
        <v>Out</v>
      </c>
      <c r="H581" s="6" t="s">
        <v>1107</v>
      </c>
      <c r="I581" s="6" t="s">
        <v>1111</v>
      </c>
    </row>
    <row r="582" spans="1:9">
      <c r="A582" s="4">
        <v>1</v>
      </c>
      <c r="B582" s="5" t="s">
        <v>673</v>
      </c>
      <c r="C582" s="6">
        <v>9699</v>
      </c>
      <c r="D582" s="7">
        <v>1</v>
      </c>
      <c r="E582">
        <v>1.6054000000000002</v>
      </c>
      <c r="F582" s="1">
        <v>201</v>
      </c>
      <c r="G582" s="1" t="str">
        <f>VLOOKUP(F582,'Master(Ko Xóa)'!$F$2:$H$158,3,0)</f>
        <v>Out</v>
      </c>
      <c r="H582" s="6" t="s">
        <v>1107</v>
      </c>
      <c r="I582" s="6" t="s">
        <v>1111</v>
      </c>
    </row>
    <row r="583" spans="1:9">
      <c r="A583" s="4">
        <v>1</v>
      </c>
      <c r="B583" s="5" t="s">
        <v>674</v>
      </c>
      <c r="C583" s="6">
        <v>9699</v>
      </c>
      <c r="D583" s="7">
        <v>1</v>
      </c>
      <c r="E583">
        <v>0.30730000000000002</v>
      </c>
      <c r="F583" s="1">
        <v>201</v>
      </c>
      <c r="G583" s="1" t="str">
        <f>VLOOKUP(F583,'Master(Ko Xóa)'!$F$2:$H$158,3,0)</f>
        <v>Out</v>
      </c>
      <c r="H583" s="6" t="s">
        <v>1107</v>
      </c>
      <c r="I583" s="6" t="s">
        <v>1111</v>
      </c>
    </row>
    <row r="584" spans="1:9">
      <c r="A584" s="4">
        <v>1</v>
      </c>
      <c r="B584" s="5" t="s">
        <v>675</v>
      </c>
      <c r="C584" s="6">
        <v>9699</v>
      </c>
      <c r="D584" s="7">
        <v>1</v>
      </c>
      <c r="E584">
        <v>0.66359999999999997</v>
      </c>
      <c r="F584" s="1">
        <v>201</v>
      </c>
      <c r="G584" s="1" t="str">
        <f>VLOOKUP(F584,'Master(Ko Xóa)'!$F$2:$H$158,3,0)</f>
        <v>Out</v>
      </c>
      <c r="H584" s="6" t="s">
        <v>1107</v>
      </c>
      <c r="I584" s="6" t="s">
        <v>1111</v>
      </c>
    </row>
    <row r="585" spans="1:9">
      <c r="A585" s="4">
        <v>1</v>
      </c>
      <c r="B585" s="5" t="s">
        <v>676</v>
      </c>
      <c r="C585" s="6">
        <v>9699</v>
      </c>
      <c r="D585" s="7">
        <v>1</v>
      </c>
      <c r="E585">
        <v>0.50209999999999999</v>
      </c>
      <c r="F585" s="1">
        <v>201</v>
      </c>
      <c r="G585" s="1" t="str">
        <f>VLOOKUP(F585,'Master(Ko Xóa)'!$F$2:$H$158,3,0)</f>
        <v>Out</v>
      </c>
      <c r="H585" s="6" t="s">
        <v>1107</v>
      </c>
      <c r="I585" s="6" t="s">
        <v>1111</v>
      </c>
    </row>
    <row r="586" spans="1:9">
      <c r="A586" s="4">
        <v>1</v>
      </c>
      <c r="B586" s="5" t="s">
        <v>677</v>
      </c>
      <c r="C586" s="6">
        <v>9699</v>
      </c>
      <c r="D586" s="7">
        <v>1</v>
      </c>
      <c r="E586">
        <v>0.60299999999999998</v>
      </c>
      <c r="F586" s="1">
        <v>201</v>
      </c>
      <c r="G586" s="1" t="str">
        <f>VLOOKUP(F586,'Master(Ko Xóa)'!$F$2:$H$158,3,0)</f>
        <v>Out</v>
      </c>
      <c r="H586" s="6" t="s">
        <v>1107</v>
      </c>
      <c r="I586" s="6" t="s">
        <v>1111</v>
      </c>
    </row>
    <row r="587" spans="1:9">
      <c r="A587" s="4">
        <v>1</v>
      </c>
      <c r="B587" s="5" t="s">
        <v>678</v>
      </c>
      <c r="C587" s="6">
        <v>9699</v>
      </c>
      <c r="D587" s="7">
        <v>1</v>
      </c>
      <c r="E587">
        <v>5.1299999999999998E-2</v>
      </c>
      <c r="F587" s="1">
        <v>201</v>
      </c>
      <c r="G587" s="1" t="str">
        <f>VLOOKUP(F587,'Master(Ko Xóa)'!$F$2:$H$158,3,0)</f>
        <v>Out</v>
      </c>
      <c r="H587" s="6" t="s">
        <v>1107</v>
      </c>
      <c r="I587" s="6" t="s">
        <v>1111</v>
      </c>
    </row>
    <row r="588" spans="1:9">
      <c r="A588" s="4">
        <v>1</v>
      </c>
      <c r="B588" s="5" t="s">
        <v>679</v>
      </c>
      <c r="C588" s="6">
        <v>9699</v>
      </c>
      <c r="D588" s="7">
        <v>1</v>
      </c>
      <c r="E588">
        <v>0.1822</v>
      </c>
      <c r="F588" s="1">
        <v>201</v>
      </c>
      <c r="G588" s="1" t="str">
        <f>VLOOKUP(F588,'Master(Ko Xóa)'!$F$2:$H$158,3,0)</f>
        <v>Out</v>
      </c>
      <c r="H588" s="6" t="s">
        <v>1107</v>
      </c>
      <c r="I588" s="6" t="s">
        <v>1111</v>
      </c>
    </row>
    <row r="589" spans="1:9">
      <c r="A589" s="4">
        <v>1</v>
      </c>
      <c r="B589" s="5" t="s">
        <v>680</v>
      </c>
      <c r="C589" s="6">
        <v>9699</v>
      </c>
      <c r="D589" s="7">
        <v>1</v>
      </c>
      <c r="E589">
        <v>9.1000000000000004E-3</v>
      </c>
      <c r="F589" s="1">
        <v>201</v>
      </c>
      <c r="G589" s="1" t="str">
        <f>VLOOKUP(F589,'Master(Ko Xóa)'!$F$2:$H$158,3,0)</f>
        <v>Out</v>
      </c>
      <c r="H589" s="6" t="s">
        <v>1107</v>
      </c>
      <c r="I589" s="6" t="s">
        <v>1111</v>
      </c>
    </row>
    <row r="590" spans="1:9">
      <c r="A590" s="4">
        <v>1</v>
      </c>
      <c r="B590" s="5" t="s">
        <v>681</v>
      </c>
      <c r="C590" s="6">
        <v>9699</v>
      </c>
      <c r="D590" s="7">
        <v>1</v>
      </c>
      <c r="E590">
        <v>1.6899999999999998E-2</v>
      </c>
      <c r="F590" s="1">
        <v>201</v>
      </c>
      <c r="G590" s="1" t="str">
        <f>VLOOKUP(F590,'Master(Ko Xóa)'!$F$2:$H$158,3,0)</f>
        <v>Out</v>
      </c>
      <c r="H590" s="6" t="s">
        <v>1107</v>
      </c>
      <c r="I590" s="6" t="s">
        <v>1111</v>
      </c>
    </row>
    <row r="591" spans="1:9">
      <c r="A591" s="4">
        <v>1</v>
      </c>
      <c r="B591" s="5" t="s">
        <v>682</v>
      </c>
      <c r="C591" s="6">
        <v>9699</v>
      </c>
      <c r="D591" s="7">
        <v>1</v>
      </c>
      <c r="E591">
        <v>1.9600000000000003E-2</v>
      </c>
      <c r="F591" s="1">
        <v>201</v>
      </c>
      <c r="G591" s="1" t="str">
        <f>VLOOKUP(F591,'Master(Ko Xóa)'!$F$2:$H$158,3,0)</f>
        <v>Out</v>
      </c>
      <c r="H591" s="6" t="s">
        <v>1107</v>
      </c>
      <c r="I591" s="6" t="s">
        <v>1111</v>
      </c>
    </row>
    <row r="592" spans="1:9">
      <c r="A592" s="4">
        <v>1</v>
      </c>
      <c r="B592" s="5" t="s">
        <v>683</v>
      </c>
      <c r="C592" s="6">
        <v>9699</v>
      </c>
      <c r="D592" s="7">
        <v>1</v>
      </c>
      <c r="E592">
        <v>1.03E-2</v>
      </c>
      <c r="F592" s="1">
        <v>201</v>
      </c>
      <c r="G592" s="1" t="str">
        <f>VLOOKUP(F592,'Master(Ko Xóa)'!$F$2:$H$158,3,0)</f>
        <v>Out</v>
      </c>
      <c r="H592" s="6" t="s">
        <v>1107</v>
      </c>
      <c r="I592" s="6" t="s">
        <v>1111</v>
      </c>
    </row>
    <row r="593" spans="1:9">
      <c r="A593" s="4">
        <v>1</v>
      </c>
      <c r="B593" s="5" t="s">
        <v>684</v>
      </c>
      <c r="C593" s="6">
        <v>9699</v>
      </c>
      <c r="D593" s="7">
        <v>1</v>
      </c>
      <c r="E593">
        <v>1.72</v>
      </c>
      <c r="F593" s="1">
        <v>201</v>
      </c>
      <c r="G593" s="1" t="str">
        <f>VLOOKUP(F593,'Master(Ko Xóa)'!$F$2:$H$158,3,0)</f>
        <v>Out</v>
      </c>
      <c r="H593" s="6" t="s">
        <v>1107</v>
      </c>
      <c r="I593" s="6" t="s">
        <v>1111</v>
      </c>
    </row>
    <row r="594" spans="1:9">
      <c r="A594" s="4">
        <v>1</v>
      </c>
      <c r="B594" s="5" t="s">
        <v>685</v>
      </c>
      <c r="C594" s="6">
        <v>9699</v>
      </c>
      <c r="D594" s="7">
        <v>1</v>
      </c>
      <c r="E594">
        <v>1.3519999999999999E-2</v>
      </c>
      <c r="F594" s="1">
        <v>201</v>
      </c>
      <c r="G594" s="1" t="str">
        <f>VLOOKUP(F594,'Master(Ko Xóa)'!$F$2:$H$158,3,0)</f>
        <v>Out</v>
      </c>
      <c r="H594" s="6" t="s">
        <v>1107</v>
      </c>
      <c r="I594" s="6" t="s">
        <v>1111</v>
      </c>
    </row>
    <row r="595" spans="1:9">
      <c r="A595" s="4">
        <v>1</v>
      </c>
      <c r="B595" s="5" t="s">
        <v>686</v>
      </c>
      <c r="C595" s="6">
        <v>9699</v>
      </c>
      <c r="D595" s="7">
        <v>1</v>
      </c>
      <c r="E595">
        <v>2.3E-3</v>
      </c>
      <c r="F595" s="1">
        <v>201</v>
      </c>
      <c r="G595" s="1" t="str">
        <f>VLOOKUP(F595,'Master(Ko Xóa)'!$F$2:$H$158,3,0)</f>
        <v>Out</v>
      </c>
      <c r="H595" s="6" t="s">
        <v>1107</v>
      </c>
      <c r="I595" s="6" t="s">
        <v>1111</v>
      </c>
    </row>
    <row r="596" spans="1:9">
      <c r="A596" s="4">
        <v>1</v>
      </c>
      <c r="B596" s="5" t="s">
        <v>687</v>
      </c>
      <c r="C596" s="6">
        <v>9699</v>
      </c>
      <c r="D596" s="7">
        <v>1</v>
      </c>
      <c r="E596">
        <v>3.0200000000000001E-3</v>
      </c>
      <c r="F596" s="1">
        <v>201</v>
      </c>
      <c r="G596" s="1" t="str">
        <f>VLOOKUP(F596,'Master(Ko Xóa)'!$F$2:$H$158,3,0)</f>
        <v>Out</v>
      </c>
      <c r="H596" s="6" t="s">
        <v>1107</v>
      </c>
      <c r="I596" s="6" t="s">
        <v>1111</v>
      </c>
    </row>
    <row r="597" spans="1:9">
      <c r="A597" s="4">
        <v>1</v>
      </c>
      <c r="B597" s="5" t="s">
        <v>688</v>
      </c>
      <c r="C597" s="6">
        <v>9699</v>
      </c>
      <c r="D597" s="7">
        <v>1</v>
      </c>
      <c r="E597">
        <v>1.8699999999999998E-2</v>
      </c>
      <c r="F597" s="1">
        <v>201</v>
      </c>
      <c r="G597" s="1" t="str">
        <f>VLOOKUP(F597,'Master(Ko Xóa)'!$F$2:$H$158,3,0)</f>
        <v>Out</v>
      </c>
      <c r="H597" s="6" t="s">
        <v>1107</v>
      </c>
      <c r="I597" s="6" t="s">
        <v>1111</v>
      </c>
    </row>
    <row r="598" spans="1:9">
      <c r="A598" s="4">
        <v>1</v>
      </c>
      <c r="B598" s="5" t="s">
        <v>689</v>
      </c>
      <c r="C598" s="6">
        <v>9699</v>
      </c>
      <c r="D598" s="7">
        <v>1</v>
      </c>
      <c r="E598">
        <v>6.1999999999999998E-3</v>
      </c>
      <c r="F598" s="1">
        <v>201</v>
      </c>
      <c r="G598" s="1" t="str">
        <f>VLOOKUP(F598,'Master(Ko Xóa)'!$F$2:$H$158,3,0)</f>
        <v>Out</v>
      </c>
      <c r="H598" s="6" t="s">
        <v>1107</v>
      </c>
      <c r="I598" s="6" t="s">
        <v>1111</v>
      </c>
    </row>
    <row r="599" spans="1:9">
      <c r="A599" s="4">
        <v>1</v>
      </c>
      <c r="B599" s="5" t="s">
        <v>690</v>
      </c>
      <c r="C599" s="6">
        <v>9699</v>
      </c>
      <c r="D599" s="7">
        <v>1</v>
      </c>
      <c r="E599">
        <v>7.7000000000000002E-3</v>
      </c>
      <c r="F599" s="1">
        <v>201</v>
      </c>
      <c r="G599" s="1" t="str">
        <f>VLOOKUP(F599,'Master(Ko Xóa)'!$F$2:$H$158,3,0)</f>
        <v>Out</v>
      </c>
      <c r="H599" s="6" t="s">
        <v>1107</v>
      </c>
      <c r="I599" s="6" t="s">
        <v>1111</v>
      </c>
    </row>
    <row r="600" spans="1:9">
      <c r="A600" s="4">
        <v>1</v>
      </c>
      <c r="B600" s="5" t="s">
        <v>691</v>
      </c>
      <c r="C600" s="6">
        <v>9699</v>
      </c>
      <c r="D600" s="7">
        <v>1</v>
      </c>
      <c r="E600">
        <v>1.3800000000000002E-2</v>
      </c>
      <c r="F600" s="1">
        <v>201</v>
      </c>
      <c r="G600" s="1" t="str">
        <f>VLOOKUP(F600,'Master(Ko Xóa)'!$F$2:$H$158,3,0)</f>
        <v>Out</v>
      </c>
      <c r="H600" s="6" t="s">
        <v>1107</v>
      </c>
      <c r="I600" s="6" t="s">
        <v>1111</v>
      </c>
    </row>
    <row r="601" spans="1:9">
      <c r="A601" s="4">
        <v>1</v>
      </c>
      <c r="B601" s="5" t="s">
        <v>692</v>
      </c>
      <c r="C601" s="6">
        <v>9699</v>
      </c>
      <c r="D601" s="7">
        <v>2</v>
      </c>
      <c r="E601">
        <v>6.7000000000000004E-2</v>
      </c>
      <c r="F601" s="1">
        <v>201</v>
      </c>
      <c r="G601" s="1" t="str">
        <f>VLOOKUP(F601,'Master(Ko Xóa)'!$F$2:$H$158,3,0)</f>
        <v>Out</v>
      </c>
      <c r="H601" s="6" t="s">
        <v>1107</v>
      </c>
      <c r="I601" s="6" t="s">
        <v>1111</v>
      </c>
    </row>
    <row r="602" spans="1:9">
      <c r="A602" s="4">
        <v>1</v>
      </c>
      <c r="B602" s="5" t="s">
        <v>693</v>
      </c>
      <c r="C602" s="6">
        <v>9699</v>
      </c>
      <c r="D602" s="7">
        <v>1</v>
      </c>
      <c r="E602">
        <v>5.5999999999999999E-3</v>
      </c>
      <c r="F602" s="1">
        <v>201</v>
      </c>
      <c r="G602" s="1" t="str">
        <f>VLOOKUP(F602,'Master(Ko Xóa)'!$F$2:$H$158,3,0)</f>
        <v>Out</v>
      </c>
      <c r="H602" s="6" t="s">
        <v>1107</v>
      </c>
      <c r="I602" s="6" t="s">
        <v>1111</v>
      </c>
    </row>
    <row r="603" spans="1:9">
      <c r="A603" s="4">
        <v>1</v>
      </c>
      <c r="B603" s="5" t="s">
        <v>694</v>
      </c>
      <c r="C603" s="6">
        <v>9699</v>
      </c>
      <c r="D603" s="7">
        <v>2</v>
      </c>
      <c r="E603">
        <v>4.96E-3</v>
      </c>
      <c r="F603" s="1">
        <v>201</v>
      </c>
      <c r="G603" s="1" t="str">
        <f>VLOOKUP(F603,'Master(Ko Xóa)'!$F$2:$H$158,3,0)</f>
        <v>Out</v>
      </c>
      <c r="H603" s="6" t="s">
        <v>1107</v>
      </c>
      <c r="I603" s="6" t="s">
        <v>1111</v>
      </c>
    </row>
    <row r="604" spans="1:9">
      <c r="A604" s="4">
        <v>1</v>
      </c>
      <c r="B604" s="5" t="s">
        <v>695</v>
      </c>
      <c r="C604" s="6">
        <v>9699</v>
      </c>
      <c r="D604" s="7">
        <v>1</v>
      </c>
      <c r="E604">
        <v>3.8E-3</v>
      </c>
      <c r="F604" s="1">
        <v>201</v>
      </c>
      <c r="G604" s="1" t="str">
        <f>VLOOKUP(F604,'Master(Ko Xóa)'!$F$2:$H$158,3,0)</f>
        <v>Out</v>
      </c>
      <c r="H604" s="6" t="s">
        <v>1107</v>
      </c>
      <c r="I604" s="6" t="s">
        <v>1111</v>
      </c>
    </row>
    <row r="605" spans="1:9">
      <c r="A605" s="4">
        <v>1</v>
      </c>
      <c r="B605" s="5" t="s">
        <v>696</v>
      </c>
      <c r="C605" s="6">
        <v>9699</v>
      </c>
      <c r="D605" s="7">
        <v>1</v>
      </c>
      <c r="E605">
        <v>5.8600000000000006E-3</v>
      </c>
      <c r="F605" s="1">
        <v>201</v>
      </c>
      <c r="G605" s="1" t="str">
        <f>VLOOKUP(F605,'Master(Ko Xóa)'!$F$2:$H$158,3,0)</f>
        <v>Out</v>
      </c>
      <c r="H605" s="6" t="s">
        <v>1107</v>
      </c>
      <c r="I605" s="6" t="s">
        <v>1111</v>
      </c>
    </row>
    <row r="606" spans="1:9">
      <c r="A606" s="4">
        <v>1</v>
      </c>
      <c r="B606" s="5" t="s">
        <v>697</v>
      </c>
      <c r="C606" s="6">
        <v>9699</v>
      </c>
      <c r="D606" s="7">
        <v>1</v>
      </c>
      <c r="E606">
        <v>5.0999999999999995E-3</v>
      </c>
      <c r="F606" s="1">
        <v>201</v>
      </c>
      <c r="G606" s="1" t="str">
        <f>VLOOKUP(F606,'Master(Ko Xóa)'!$F$2:$H$158,3,0)</f>
        <v>Out</v>
      </c>
      <c r="H606" s="6" t="s">
        <v>1107</v>
      </c>
      <c r="I606" s="6" t="s">
        <v>1111</v>
      </c>
    </row>
    <row r="607" spans="1:9">
      <c r="A607" s="4">
        <v>1</v>
      </c>
      <c r="B607" s="5" t="s">
        <v>698</v>
      </c>
      <c r="C607" s="6">
        <v>9699</v>
      </c>
      <c r="D607" s="7">
        <v>1</v>
      </c>
      <c r="E607">
        <v>1.23E-2</v>
      </c>
      <c r="F607" s="1">
        <v>201</v>
      </c>
      <c r="G607" s="1" t="str">
        <f>VLOOKUP(F607,'Master(Ko Xóa)'!$F$2:$H$158,3,0)</f>
        <v>Out</v>
      </c>
      <c r="H607" s="6" t="s">
        <v>1107</v>
      </c>
      <c r="I607" s="6" t="s">
        <v>1111</v>
      </c>
    </row>
    <row r="608" spans="1:9">
      <c r="A608" s="4">
        <v>1</v>
      </c>
      <c r="B608" s="5" t="s">
        <v>699</v>
      </c>
      <c r="C608" s="6">
        <v>9699</v>
      </c>
      <c r="D608" s="7">
        <v>1</v>
      </c>
      <c r="E608">
        <v>1.4E-3</v>
      </c>
      <c r="F608" s="1">
        <v>201</v>
      </c>
      <c r="G608" s="1" t="str">
        <f>VLOOKUP(F608,'Master(Ko Xóa)'!$F$2:$H$158,3,0)</f>
        <v>Out</v>
      </c>
      <c r="H608" s="6" t="s">
        <v>1107</v>
      </c>
      <c r="I608" s="6" t="s">
        <v>1111</v>
      </c>
    </row>
    <row r="609" spans="1:9">
      <c r="A609" s="4">
        <v>1</v>
      </c>
      <c r="B609" s="5" t="s">
        <v>700</v>
      </c>
      <c r="C609" s="6">
        <v>9699</v>
      </c>
      <c r="D609" s="7">
        <v>1</v>
      </c>
      <c r="E609">
        <v>1.4199999999999999E-2</v>
      </c>
      <c r="F609" s="1">
        <v>201</v>
      </c>
      <c r="G609" s="1" t="str">
        <f>VLOOKUP(F609,'Master(Ko Xóa)'!$F$2:$H$158,3,0)</f>
        <v>Out</v>
      </c>
      <c r="H609" s="6" t="s">
        <v>1107</v>
      </c>
      <c r="I609" s="6" t="s">
        <v>1111</v>
      </c>
    </row>
    <row r="610" spans="1:9">
      <c r="A610" s="4">
        <v>1</v>
      </c>
      <c r="B610" s="5" t="s">
        <v>701</v>
      </c>
      <c r="C610" s="6">
        <v>9699</v>
      </c>
      <c r="D610" s="7">
        <v>1</v>
      </c>
      <c r="E610">
        <v>0.15569999999999998</v>
      </c>
      <c r="F610" s="1">
        <v>201</v>
      </c>
      <c r="G610" s="1" t="str">
        <f>VLOOKUP(F610,'Master(Ko Xóa)'!$F$2:$H$158,3,0)</f>
        <v>Out</v>
      </c>
      <c r="H610" s="6" t="s">
        <v>1107</v>
      </c>
      <c r="I610" s="6" t="s">
        <v>1111</v>
      </c>
    </row>
    <row r="611" spans="1:9">
      <c r="A611" s="4">
        <v>1</v>
      </c>
      <c r="B611" s="5" t="s">
        <v>702</v>
      </c>
      <c r="C611" s="6">
        <v>9699</v>
      </c>
      <c r="D611" s="7">
        <v>1</v>
      </c>
      <c r="E611">
        <v>0.1895</v>
      </c>
      <c r="F611" s="1">
        <v>201</v>
      </c>
      <c r="G611" s="1" t="str">
        <f>VLOOKUP(F611,'Master(Ko Xóa)'!$F$2:$H$158,3,0)</f>
        <v>Out</v>
      </c>
      <c r="H611" s="6" t="s">
        <v>1107</v>
      </c>
      <c r="I611" s="6" t="s">
        <v>1111</v>
      </c>
    </row>
    <row r="612" spans="1:9">
      <c r="A612" s="4">
        <v>1</v>
      </c>
      <c r="B612" s="5" t="s">
        <v>703</v>
      </c>
      <c r="C612" s="6">
        <v>9699</v>
      </c>
      <c r="D612" s="7">
        <v>5</v>
      </c>
      <c r="E612">
        <v>0.30989999999999995</v>
      </c>
      <c r="F612" s="1">
        <v>201</v>
      </c>
      <c r="G612" s="1" t="str">
        <f>VLOOKUP(F612,'Master(Ko Xóa)'!$F$2:$H$158,3,0)</f>
        <v>Out</v>
      </c>
      <c r="H612" s="6" t="s">
        <v>1107</v>
      </c>
      <c r="I612" s="6" t="s">
        <v>1112</v>
      </c>
    </row>
    <row r="613" spans="1:9">
      <c r="A613" s="4">
        <v>1</v>
      </c>
      <c r="B613" s="5" t="s">
        <v>704</v>
      </c>
      <c r="C613" s="6">
        <v>9699</v>
      </c>
      <c r="D613" s="7">
        <v>20</v>
      </c>
      <c r="E613">
        <v>4.5999999999999999E-3</v>
      </c>
      <c r="F613" s="1">
        <v>201</v>
      </c>
      <c r="G613" s="1" t="str">
        <f>VLOOKUP(F613,'Master(Ko Xóa)'!$F$2:$H$158,3,0)</f>
        <v>Out</v>
      </c>
      <c r="H613" s="6" t="s">
        <v>1107</v>
      </c>
      <c r="I613" s="6" t="s">
        <v>1112</v>
      </c>
    </row>
    <row r="614" spans="1:9">
      <c r="A614" s="4">
        <v>1</v>
      </c>
      <c r="B614" s="5" t="s">
        <v>705</v>
      </c>
      <c r="C614" s="6">
        <v>9699</v>
      </c>
      <c r="D614" s="7">
        <v>20</v>
      </c>
      <c r="E614">
        <v>4.5999999999999999E-3</v>
      </c>
      <c r="F614" s="1">
        <v>201</v>
      </c>
      <c r="G614" s="1" t="str">
        <f>VLOOKUP(F614,'Master(Ko Xóa)'!$F$2:$H$158,3,0)</f>
        <v>Out</v>
      </c>
      <c r="H614" s="6" t="s">
        <v>1107</v>
      </c>
      <c r="I614" s="6" t="s">
        <v>1112</v>
      </c>
    </row>
    <row r="615" spans="1:9">
      <c r="A615" s="4">
        <v>1</v>
      </c>
      <c r="B615" s="5" t="s">
        <v>706</v>
      </c>
      <c r="C615" s="6">
        <v>9699</v>
      </c>
      <c r="D615" s="7">
        <v>20</v>
      </c>
      <c r="E615">
        <v>1.34E-2</v>
      </c>
      <c r="F615" s="1">
        <v>201</v>
      </c>
      <c r="G615" s="1" t="str">
        <f>VLOOKUP(F615,'Master(Ko Xóa)'!$F$2:$H$158,3,0)</f>
        <v>Out</v>
      </c>
      <c r="H615" s="6" t="s">
        <v>1107</v>
      </c>
      <c r="I615" s="6" t="s">
        <v>1112</v>
      </c>
    </row>
    <row r="616" spans="1:9">
      <c r="A616" s="4">
        <v>1</v>
      </c>
      <c r="B616" s="5" t="s">
        <v>707</v>
      </c>
      <c r="C616" s="6">
        <v>9699</v>
      </c>
      <c r="D616" s="7">
        <v>1</v>
      </c>
      <c r="E616">
        <v>8.6489999999999997E-2</v>
      </c>
      <c r="F616" s="1">
        <v>201</v>
      </c>
      <c r="G616" s="1" t="str">
        <f>VLOOKUP(F616,'Master(Ko Xóa)'!$F$2:$H$158,3,0)</f>
        <v>Out</v>
      </c>
      <c r="H616" s="6" t="s">
        <v>1107</v>
      </c>
      <c r="I616" s="6" t="s">
        <v>1112</v>
      </c>
    </row>
    <row r="617" spans="1:9">
      <c r="A617" s="4">
        <v>1</v>
      </c>
      <c r="B617" s="5" t="s">
        <v>708</v>
      </c>
      <c r="C617" s="6">
        <v>9699</v>
      </c>
      <c r="D617" s="7">
        <v>1</v>
      </c>
      <c r="E617">
        <v>1.8699999999999998E-2</v>
      </c>
      <c r="F617" s="1">
        <v>201</v>
      </c>
      <c r="G617" s="1" t="str">
        <f>VLOOKUP(F617,'Master(Ko Xóa)'!$F$2:$H$158,3,0)</f>
        <v>Out</v>
      </c>
      <c r="H617" s="6" t="s">
        <v>1107</v>
      </c>
      <c r="I617" s="6" t="s">
        <v>1112</v>
      </c>
    </row>
    <row r="618" spans="1:9">
      <c r="A618" s="4">
        <v>1</v>
      </c>
      <c r="B618" s="5" t="s">
        <v>709</v>
      </c>
      <c r="C618" s="6">
        <v>9699</v>
      </c>
      <c r="D618" s="7">
        <v>1</v>
      </c>
      <c r="E618">
        <v>9.2780000000000001E-2</v>
      </c>
      <c r="F618" s="1">
        <v>201</v>
      </c>
      <c r="G618" s="1" t="str">
        <f>VLOOKUP(F618,'Master(Ko Xóa)'!$F$2:$H$158,3,0)</f>
        <v>Out</v>
      </c>
      <c r="H618" s="6" t="s">
        <v>1107</v>
      </c>
      <c r="I618" s="6" t="s">
        <v>1112</v>
      </c>
    </row>
    <row r="619" spans="1:9">
      <c r="A619" s="4">
        <v>1</v>
      </c>
      <c r="B619" s="5" t="s">
        <v>710</v>
      </c>
      <c r="C619" s="6">
        <v>9699</v>
      </c>
      <c r="D619" s="7">
        <v>1</v>
      </c>
      <c r="E619">
        <v>7.5300000000000002E-3</v>
      </c>
      <c r="F619" s="1">
        <v>201</v>
      </c>
      <c r="G619" s="1" t="str">
        <f>VLOOKUP(F619,'Master(Ko Xóa)'!$F$2:$H$158,3,0)</f>
        <v>Out</v>
      </c>
      <c r="H619" s="6" t="s">
        <v>1107</v>
      </c>
      <c r="I619" s="6" t="s">
        <v>1112</v>
      </c>
    </row>
    <row r="620" spans="1:9">
      <c r="A620" s="4">
        <v>1</v>
      </c>
      <c r="B620" s="5" t="s">
        <v>711</v>
      </c>
      <c r="C620" s="6">
        <v>9699</v>
      </c>
      <c r="D620" s="7">
        <v>1</v>
      </c>
      <c r="E620">
        <v>0.17480000000000001</v>
      </c>
      <c r="F620" s="1">
        <v>201</v>
      </c>
      <c r="G620" s="1" t="str">
        <f>VLOOKUP(F620,'Master(Ko Xóa)'!$F$2:$H$158,3,0)</f>
        <v>Out</v>
      </c>
      <c r="H620" s="6" t="s">
        <v>1107</v>
      </c>
      <c r="I620" s="6" t="s">
        <v>1112</v>
      </c>
    </row>
    <row r="621" spans="1:9">
      <c r="A621" s="4">
        <v>1</v>
      </c>
      <c r="B621" s="5" t="s">
        <v>712</v>
      </c>
      <c r="C621" s="6">
        <v>9699</v>
      </c>
      <c r="D621" s="7">
        <v>1</v>
      </c>
      <c r="E621">
        <v>0.4128</v>
      </c>
      <c r="F621" s="1">
        <v>201</v>
      </c>
      <c r="G621" s="1" t="str">
        <f>VLOOKUP(F621,'Master(Ko Xóa)'!$F$2:$H$158,3,0)</f>
        <v>Out</v>
      </c>
      <c r="H621" s="6" t="s">
        <v>1107</v>
      </c>
      <c r="I621" s="6" t="s">
        <v>1112</v>
      </c>
    </row>
    <row r="622" spans="1:9">
      <c r="A622" s="4">
        <v>1</v>
      </c>
      <c r="B622" s="5" t="s">
        <v>713</v>
      </c>
      <c r="C622" s="6">
        <v>9699</v>
      </c>
      <c r="D622" s="7">
        <v>1</v>
      </c>
      <c r="E622">
        <v>9.0310000000000001E-2</v>
      </c>
      <c r="F622" s="1">
        <v>201</v>
      </c>
      <c r="G622" s="1" t="str">
        <f>VLOOKUP(F622,'Master(Ko Xóa)'!$F$2:$H$158,3,0)</f>
        <v>Out</v>
      </c>
      <c r="H622" s="6" t="s">
        <v>1107</v>
      </c>
      <c r="I622" s="6" t="s">
        <v>1112</v>
      </c>
    </row>
    <row r="623" spans="1:9">
      <c r="A623" s="4">
        <v>1</v>
      </c>
      <c r="B623" s="5" t="s">
        <v>714</v>
      </c>
      <c r="C623" s="6">
        <v>9699</v>
      </c>
      <c r="D623" s="7">
        <v>1</v>
      </c>
      <c r="E623">
        <v>2.794E-2</v>
      </c>
      <c r="F623" s="1">
        <v>201</v>
      </c>
      <c r="G623" s="1" t="str">
        <f>VLOOKUP(F623,'Master(Ko Xóa)'!$F$2:$H$158,3,0)</f>
        <v>Out</v>
      </c>
      <c r="H623" s="6" t="s">
        <v>1107</v>
      </c>
      <c r="I623" s="6" t="s">
        <v>1112</v>
      </c>
    </row>
    <row r="624" spans="1:9">
      <c r="A624" s="4">
        <v>1</v>
      </c>
      <c r="B624" s="5" t="s">
        <v>715</v>
      </c>
      <c r="C624" s="6">
        <v>9699</v>
      </c>
      <c r="D624" s="7">
        <v>1</v>
      </c>
      <c r="E624">
        <v>2.46E-2</v>
      </c>
      <c r="F624" s="1">
        <v>201</v>
      </c>
      <c r="G624" s="1" t="str">
        <f>VLOOKUP(F624,'Master(Ko Xóa)'!$F$2:$H$158,3,0)</f>
        <v>Out</v>
      </c>
      <c r="H624" s="6" t="s">
        <v>1107</v>
      </c>
      <c r="I624" s="6" t="s">
        <v>1112</v>
      </c>
    </row>
    <row r="625" spans="1:9">
      <c r="A625" s="4">
        <v>1</v>
      </c>
      <c r="B625" s="5" t="s">
        <v>716</v>
      </c>
      <c r="C625" s="6">
        <v>9699</v>
      </c>
      <c r="D625" s="7">
        <v>1</v>
      </c>
      <c r="E625">
        <v>5.2200000000000003E-2</v>
      </c>
      <c r="F625" s="1">
        <v>201</v>
      </c>
      <c r="G625" s="1" t="str">
        <f>VLOOKUP(F625,'Master(Ko Xóa)'!$F$2:$H$158,3,0)</f>
        <v>Out</v>
      </c>
      <c r="H625" s="6" t="s">
        <v>1107</v>
      </c>
      <c r="I625" s="6" t="s">
        <v>1112</v>
      </c>
    </row>
    <row r="626" spans="1:9">
      <c r="A626" s="4">
        <v>1</v>
      </c>
      <c r="B626" s="5" t="s">
        <v>717</v>
      </c>
      <c r="C626" s="6">
        <v>9699</v>
      </c>
      <c r="D626" s="7">
        <v>1</v>
      </c>
      <c r="E626">
        <v>5.21E-2</v>
      </c>
      <c r="F626" s="1">
        <v>201</v>
      </c>
      <c r="G626" s="1" t="str">
        <f>VLOOKUP(F626,'Master(Ko Xóa)'!$F$2:$H$158,3,0)</f>
        <v>Out</v>
      </c>
      <c r="H626" s="6" t="s">
        <v>1107</v>
      </c>
      <c r="I626" s="6" t="s">
        <v>1112</v>
      </c>
    </row>
    <row r="627" spans="1:9">
      <c r="A627" s="4">
        <v>1</v>
      </c>
      <c r="B627" s="5" t="s">
        <v>718</v>
      </c>
      <c r="C627" s="6">
        <v>9699</v>
      </c>
      <c r="D627" s="7">
        <v>1</v>
      </c>
      <c r="E627">
        <v>4.3200000000000002E-2</v>
      </c>
      <c r="F627" s="1">
        <v>201</v>
      </c>
      <c r="G627" s="1" t="str">
        <f>VLOOKUP(F627,'Master(Ko Xóa)'!$F$2:$H$158,3,0)</f>
        <v>Out</v>
      </c>
      <c r="H627" s="6" t="s">
        <v>1107</v>
      </c>
      <c r="I627" s="6" t="s">
        <v>1112</v>
      </c>
    </row>
    <row r="628" spans="1:9">
      <c r="A628" s="4">
        <v>1</v>
      </c>
      <c r="B628" s="5" t="s">
        <v>719</v>
      </c>
      <c r="C628" s="6">
        <v>9699</v>
      </c>
      <c r="D628" s="7">
        <v>1</v>
      </c>
      <c r="E628">
        <v>2.87E-2</v>
      </c>
      <c r="F628" s="1">
        <v>201</v>
      </c>
      <c r="G628" s="1" t="str">
        <f>VLOOKUP(F628,'Master(Ko Xóa)'!$F$2:$H$158,3,0)</f>
        <v>Out</v>
      </c>
      <c r="H628" s="6" t="s">
        <v>1107</v>
      </c>
      <c r="I628" s="6" t="s">
        <v>1112</v>
      </c>
    </row>
    <row r="629" spans="1:9">
      <c r="A629" s="4">
        <v>1</v>
      </c>
      <c r="B629" s="5" t="s">
        <v>720</v>
      </c>
      <c r="C629" s="6">
        <v>9699</v>
      </c>
      <c r="D629" s="7">
        <v>1</v>
      </c>
      <c r="E629">
        <v>3.6650000000000002E-2</v>
      </c>
      <c r="F629" s="1">
        <v>201</v>
      </c>
      <c r="G629" s="1" t="str">
        <f>VLOOKUP(F629,'Master(Ko Xóa)'!$F$2:$H$158,3,0)</f>
        <v>Out</v>
      </c>
      <c r="H629" s="6" t="s">
        <v>1107</v>
      </c>
      <c r="I629" s="6" t="s">
        <v>1112</v>
      </c>
    </row>
    <row r="630" spans="1:9">
      <c r="A630" s="4">
        <v>1</v>
      </c>
      <c r="B630" s="5" t="s">
        <v>721</v>
      </c>
      <c r="C630" s="6">
        <v>9699</v>
      </c>
      <c r="D630" s="7">
        <v>1</v>
      </c>
      <c r="E630">
        <v>0.13200000000000001</v>
      </c>
      <c r="F630" s="1">
        <v>201</v>
      </c>
      <c r="G630" s="1" t="str">
        <f>VLOOKUP(F630,'Master(Ko Xóa)'!$F$2:$H$158,3,0)</f>
        <v>Out</v>
      </c>
      <c r="H630" s="6" t="s">
        <v>1107</v>
      </c>
      <c r="I630" s="6" t="s">
        <v>1112</v>
      </c>
    </row>
    <row r="631" spans="1:9">
      <c r="A631" s="4">
        <v>1</v>
      </c>
      <c r="B631" s="5" t="s">
        <v>722</v>
      </c>
      <c r="C631" s="6">
        <v>9699</v>
      </c>
      <c r="D631" s="7">
        <v>1</v>
      </c>
      <c r="E631">
        <v>6.9599999999999995E-2</v>
      </c>
      <c r="F631" s="1">
        <v>201</v>
      </c>
      <c r="G631" s="1" t="str">
        <f>VLOOKUP(F631,'Master(Ko Xóa)'!$F$2:$H$158,3,0)</f>
        <v>Out</v>
      </c>
      <c r="H631" s="6" t="s">
        <v>1107</v>
      </c>
      <c r="I631" s="6" t="s">
        <v>1112</v>
      </c>
    </row>
    <row r="632" spans="1:9">
      <c r="A632" s="4">
        <v>1</v>
      </c>
      <c r="B632" s="5" t="s">
        <v>723</v>
      </c>
      <c r="C632" s="6">
        <v>9699</v>
      </c>
      <c r="D632" s="7">
        <v>1</v>
      </c>
      <c r="E632">
        <v>0.17269000000000001</v>
      </c>
      <c r="F632" s="1">
        <v>201</v>
      </c>
      <c r="G632" s="1" t="str">
        <f>VLOOKUP(F632,'Master(Ko Xóa)'!$F$2:$H$158,3,0)</f>
        <v>Out</v>
      </c>
      <c r="H632" s="6" t="s">
        <v>1107</v>
      </c>
      <c r="I632" s="6" t="s">
        <v>1112</v>
      </c>
    </row>
    <row r="633" spans="1:9">
      <c r="A633" s="4">
        <v>1</v>
      </c>
      <c r="B633" s="5" t="s">
        <v>724</v>
      </c>
      <c r="C633" s="6">
        <v>9699</v>
      </c>
      <c r="D633" s="7">
        <v>1</v>
      </c>
      <c r="E633">
        <v>8.6599999999999996E-2</v>
      </c>
      <c r="F633" s="1">
        <v>201</v>
      </c>
      <c r="G633" s="1" t="str">
        <f>VLOOKUP(F633,'Master(Ko Xóa)'!$F$2:$H$158,3,0)</f>
        <v>Out</v>
      </c>
      <c r="H633" s="6" t="s">
        <v>1107</v>
      </c>
      <c r="I633" s="6" t="s">
        <v>1112</v>
      </c>
    </row>
    <row r="634" spans="1:9">
      <c r="A634" s="4">
        <v>1</v>
      </c>
      <c r="B634" s="5" t="s">
        <v>725</v>
      </c>
      <c r="C634" s="6">
        <v>9699</v>
      </c>
      <c r="D634" s="7">
        <v>1</v>
      </c>
      <c r="E634">
        <v>8.6599999999999996E-2</v>
      </c>
      <c r="F634" s="1">
        <v>201</v>
      </c>
      <c r="G634" s="1" t="str">
        <f>VLOOKUP(F634,'Master(Ko Xóa)'!$F$2:$H$158,3,0)</f>
        <v>Out</v>
      </c>
      <c r="H634" s="6" t="s">
        <v>1107</v>
      </c>
      <c r="I634" s="6" t="s">
        <v>1112</v>
      </c>
    </row>
    <row r="635" spans="1:9">
      <c r="A635" s="4">
        <v>1</v>
      </c>
      <c r="B635" s="5" t="s">
        <v>726</v>
      </c>
      <c r="C635" s="6">
        <v>9699</v>
      </c>
      <c r="D635" s="7">
        <v>20</v>
      </c>
      <c r="E635">
        <v>1.4E-2</v>
      </c>
      <c r="F635" s="1">
        <v>201</v>
      </c>
      <c r="G635" s="1" t="str">
        <f>VLOOKUP(F635,'Master(Ko Xóa)'!$F$2:$H$158,3,0)</f>
        <v>Out</v>
      </c>
      <c r="H635" s="6" t="s">
        <v>1107</v>
      </c>
      <c r="I635" s="6" t="s">
        <v>1112</v>
      </c>
    </row>
    <row r="636" spans="1:9">
      <c r="A636" s="4">
        <v>1</v>
      </c>
      <c r="B636" s="5" t="s">
        <v>727</v>
      </c>
      <c r="C636" s="6">
        <v>9699</v>
      </c>
      <c r="D636" s="7">
        <v>20</v>
      </c>
      <c r="E636">
        <v>6.4399999999999999E-2</v>
      </c>
      <c r="F636" s="1">
        <v>201</v>
      </c>
      <c r="G636" s="1" t="str">
        <f>VLOOKUP(F636,'Master(Ko Xóa)'!$F$2:$H$158,3,0)</f>
        <v>Out</v>
      </c>
      <c r="H636" s="6" t="s">
        <v>1107</v>
      </c>
      <c r="I636" s="6" t="s">
        <v>1112</v>
      </c>
    </row>
    <row r="637" spans="1:9">
      <c r="A637" s="4">
        <v>1</v>
      </c>
      <c r="B637" s="5" t="s">
        <v>728</v>
      </c>
      <c r="C637" s="6">
        <v>9699</v>
      </c>
      <c r="D637" s="7">
        <v>5</v>
      </c>
      <c r="E637">
        <v>0.33574999999999999</v>
      </c>
      <c r="F637" s="1">
        <v>201</v>
      </c>
      <c r="G637" s="1" t="str">
        <f>VLOOKUP(F637,'Master(Ko Xóa)'!$F$2:$H$158,3,0)</f>
        <v>Out</v>
      </c>
      <c r="H637" s="6" t="s">
        <v>1107</v>
      </c>
      <c r="I637" s="6" t="s">
        <v>1112</v>
      </c>
    </row>
    <row r="638" spans="1:9">
      <c r="A638" s="4">
        <v>1</v>
      </c>
      <c r="B638" s="5" t="s">
        <v>729</v>
      </c>
      <c r="C638" s="6">
        <v>9699</v>
      </c>
      <c r="D638" s="7">
        <v>1</v>
      </c>
      <c r="E638">
        <v>0.40206000000000003</v>
      </c>
      <c r="F638" s="1">
        <v>201</v>
      </c>
      <c r="G638" s="1" t="str">
        <f>VLOOKUP(F638,'Master(Ko Xóa)'!$F$2:$H$158,3,0)</f>
        <v>Out</v>
      </c>
      <c r="H638" s="6" t="s">
        <v>1107</v>
      </c>
      <c r="I638" s="6" t="s">
        <v>1112</v>
      </c>
    </row>
    <row r="639" spans="1:9">
      <c r="A639" s="4">
        <v>1</v>
      </c>
      <c r="B639" s="5" t="s">
        <v>730</v>
      </c>
      <c r="C639" s="6">
        <v>9699</v>
      </c>
      <c r="D639" s="7">
        <v>1</v>
      </c>
      <c r="E639">
        <v>0.26850000000000002</v>
      </c>
      <c r="F639" s="1">
        <v>201</v>
      </c>
      <c r="G639" s="1" t="str">
        <f>VLOOKUP(F639,'Master(Ko Xóa)'!$F$2:$H$158,3,0)</f>
        <v>Out</v>
      </c>
      <c r="H639" s="6" t="s">
        <v>1107</v>
      </c>
      <c r="I639" s="6" t="s">
        <v>1112</v>
      </c>
    </row>
    <row r="640" spans="1:9">
      <c r="A640" s="4">
        <v>1</v>
      </c>
      <c r="B640" s="5" t="s">
        <v>731</v>
      </c>
      <c r="C640" s="6">
        <v>9699</v>
      </c>
      <c r="D640" s="7">
        <v>1</v>
      </c>
      <c r="E640">
        <v>9.1000000000000004E-3</v>
      </c>
      <c r="F640" s="1">
        <v>201</v>
      </c>
      <c r="G640" s="1" t="str">
        <f>VLOOKUP(F640,'Master(Ko Xóa)'!$F$2:$H$158,3,0)</f>
        <v>Out</v>
      </c>
      <c r="H640" s="6" t="s">
        <v>1107</v>
      </c>
      <c r="I640" s="6" t="s">
        <v>1112</v>
      </c>
    </row>
    <row r="641" spans="1:9">
      <c r="A641" s="4">
        <v>1</v>
      </c>
      <c r="B641" s="5" t="s">
        <v>732</v>
      </c>
      <c r="C641" s="6">
        <v>9699</v>
      </c>
      <c r="D641" s="7">
        <v>1</v>
      </c>
      <c r="E641">
        <v>3.29E-3</v>
      </c>
      <c r="F641" s="1">
        <v>201</v>
      </c>
      <c r="G641" s="1" t="str">
        <f>VLOOKUP(F641,'Master(Ko Xóa)'!$F$2:$H$158,3,0)</f>
        <v>Out</v>
      </c>
      <c r="H641" s="6" t="s">
        <v>1107</v>
      </c>
      <c r="I641" s="6" t="s">
        <v>1112</v>
      </c>
    </row>
    <row r="642" spans="1:9">
      <c r="A642" s="4">
        <v>1</v>
      </c>
      <c r="B642" s="5" t="s">
        <v>733</v>
      </c>
      <c r="C642" s="6">
        <v>9699</v>
      </c>
      <c r="D642" s="7">
        <v>1</v>
      </c>
      <c r="E642">
        <v>8.150000000000001E-3</v>
      </c>
      <c r="F642" s="1">
        <v>201</v>
      </c>
      <c r="G642" s="1" t="str">
        <f>VLOOKUP(F642,'Master(Ko Xóa)'!$F$2:$H$158,3,0)</f>
        <v>Out</v>
      </c>
      <c r="H642" s="6" t="s">
        <v>1107</v>
      </c>
      <c r="I642" s="6" t="s">
        <v>1112</v>
      </c>
    </row>
    <row r="643" spans="1:9">
      <c r="A643" s="4">
        <v>1</v>
      </c>
      <c r="B643" s="5" t="s">
        <v>734</v>
      </c>
      <c r="C643" s="6">
        <v>9699</v>
      </c>
      <c r="D643" s="7">
        <v>1</v>
      </c>
      <c r="E643">
        <v>8.7800000000000003E-2</v>
      </c>
      <c r="F643" s="1">
        <v>201</v>
      </c>
      <c r="G643" s="1" t="str">
        <f>VLOOKUP(F643,'Master(Ko Xóa)'!$F$2:$H$158,3,0)</f>
        <v>Out</v>
      </c>
      <c r="H643" s="6" t="s">
        <v>1107</v>
      </c>
      <c r="I643" s="6" t="s">
        <v>1112</v>
      </c>
    </row>
    <row r="644" spans="1:9">
      <c r="A644" s="4">
        <v>1</v>
      </c>
      <c r="B644" s="5" t="s">
        <v>735</v>
      </c>
      <c r="C644" s="6">
        <v>9699</v>
      </c>
      <c r="D644" s="7">
        <v>1</v>
      </c>
      <c r="E644">
        <v>7.3464999999999998</v>
      </c>
      <c r="F644" s="1">
        <v>201</v>
      </c>
      <c r="G644" s="1" t="str">
        <f>VLOOKUP(F644,'Master(Ko Xóa)'!$F$2:$H$158,3,0)</f>
        <v>Out</v>
      </c>
      <c r="H644" s="6" t="s">
        <v>1107</v>
      </c>
      <c r="I644" s="6" t="s">
        <v>1112</v>
      </c>
    </row>
    <row r="645" spans="1:9">
      <c r="A645" s="4">
        <v>1</v>
      </c>
      <c r="B645" s="5" t="s">
        <v>736</v>
      </c>
      <c r="C645" s="6">
        <v>1699</v>
      </c>
      <c r="D645" s="7">
        <v>1</v>
      </c>
      <c r="E645">
        <v>5.28E-2</v>
      </c>
      <c r="F645" s="1">
        <v>201</v>
      </c>
      <c r="G645" s="1" t="str">
        <f>VLOOKUP(F645,'Master(Ko Xóa)'!$F$2:$H$158,3,0)</f>
        <v>Out</v>
      </c>
      <c r="H645" s="6" t="s">
        <v>1108</v>
      </c>
      <c r="I645" s="6" t="s">
        <v>1113</v>
      </c>
    </row>
    <row r="646" spans="1:9">
      <c r="A646" s="4">
        <v>1</v>
      </c>
      <c r="B646" s="5" t="s">
        <v>737</v>
      </c>
      <c r="C646" s="6">
        <v>1699</v>
      </c>
      <c r="D646" s="7">
        <v>1</v>
      </c>
      <c r="E646">
        <v>8.5000000000000006E-3</v>
      </c>
      <c r="F646" s="1">
        <v>201</v>
      </c>
      <c r="G646" s="1" t="str">
        <f>VLOOKUP(F646,'Master(Ko Xóa)'!$F$2:$H$158,3,0)</f>
        <v>Out</v>
      </c>
      <c r="H646" s="6" t="s">
        <v>1108</v>
      </c>
      <c r="I646" s="6" t="s">
        <v>1113</v>
      </c>
    </row>
    <row r="647" spans="1:9">
      <c r="A647" s="4">
        <v>1</v>
      </c>
      <c r="B647" s="5" t="s">
        <v>738</v>
      </c>
      <c r="C647" s="6">
        <v>1699</v>
      </c>
      <c r="D647" s="7">
        <v>5</v>
      </c>
      <c r="E647">
        <v>6.3500000000000001E-2</v>
      </c>
      <c r="F647" s="1">
        <v>201</v>
      </c>
      <c r="G647" s="1" t="str">
        <f>VLOOKUP(F647,'Master(Ko Xóa)'!$F$2:$H$158,3,0)</f>
        <v>Out</v>
      </c>
      <c r="H647" s="6" t="s">
        <v>1108</v>
      </c>
      <c r="I647" s="6" t="s">
        <v>1113</v>
      </c>
    </row>
    <row r="648" spans="1:9">
      <c r="A648" s="4">
        <v>1</v>
      </c>
      <c r="B648" s="5" t="s">
        <v>739</v>
      </c>
      <c r="C648" s="6">
        <v>1699</v>
      </c>
      <c r="D648" s="7">
        <v>5</v>
      </c>
      <c r="E648">
        <v>4.965E-2</v>
      </c>
      <c r="F648" s="1">
        <v>201</v>
      </c>
      <c r="G648" s="1" t="str">
        <f>VLOOKUP(F648,'Master(Ko Xóa)'!$F$2:$H$158,3,0)</f>
        <v>Out</v>
      </c>
      <c r="H648" s="6" t="s">
        <v>1108</v>
      </c>
      <c r="I648" s="6" t="s">
        <v>1113</v>
      </c>
    </row>
    <row r="649" spans="1:9">
      <c r="A649" s="4">
        <v>1</v>
      </c>
      <c r="B649" s="5" t="s">
        <v>740</v>
      </c>
      <c r="C649" s="6">
        <v>1699</v>
      </c>
      <c r="D649" s="7">
        <v>10</v>
      </c>
      <c r="E649">
        <v>0.16649999999999998</v>
      </c>
      <c r="F649" s="1">
        <v>201</v>
      </c>
      <c r="G649" s="1" t="str">
        <f>VLOOKUP(F649,'Master(Ko Xóa)'!$F$2:$H$158,3,0)</f>
        <v>Out</v>
      </c>
      <c r="H649" s="6" t="s">
        <v>1108</v>
      </c>
      <c r="I649" s="6" t="s">
        <v>1113</v>
      </c>
    </row>
    <row r="650" spans="1:9">
      <c r="A650" s="4">
        <v>1</v>
      </c>
      <c r="B650" s="5" t="s">
        <v>332</v>
      </c>
      <c r="C650" s="6">
        <v>1699</v>
      </c>
      <c r="D650" s="7">
        <v>10</v>
      </c>
      <c r="E650">
        <v>0.1507</v>
      </c>
      <c r="F650" s="1">
        <v>201</v>
      </c>
      <c r="G650" s="1" t="str">
        <f>VLOOKUP(F650,'Master(Ko Xóa)'!$F$2:$H$158,3,0)</f>
        <v>Out</v>
      </c>
      <c r="H650" s="6" t="s">
        <v>1108</v>
      </c>
      <c r="I650" s="6" t="s">
        <v>1113</v>
      </c>
    </row>
    <row r="651" spans="1:9">
      <c r="A651" s="4">
        <v>1</v>
      </c>
      <c r="B651" s="5" t="s">
        <v>741</v>
      </c>
      <c r="C651" s="6">
        <v>1699</v>
      </c>
      <c r="D651" s="7">
        <v>20</v>
      </c>
      <c r="E651">
        <v>0.1542</v>
      </c>
      <c r="F651" s="1">
        <v>201</v>
      </c>
      <c r="G651" s="1" t="str">
        <f>VLOOKUP(F651,'Master(Ko Xóa)'!$F$2:$H$158,3,0)</f>
        <v>Out</v>
      </c>
      <c r="H651" s="6" t="s">
        <v>1108</v>
      </c>
      <c r="I651" s="6" t="s">
        <v>1113</v>
      </c>
    </row>
    <row r="652" spans="1:9">
      <c r="A652" s="4">
        <v>1</v>
      </c>
      <c r="B652" s="5" t="s">
        <v>742</v>
      </c>
      <c r="C652" s="6">
        <v>1699</v>
      </c>
      <c r="D652" s="7">
        <v>10</v>
      </c>
      <c r="E652">
        <v>0.2258</v>
      </c>
      <c r="F652" s="1">
        <v>201</v>
      </c>
      <c r="G652" s="1" t="str">
        <f>VLOOKUP(F652,'Master(Ko Xóa)'!$F$2:$H$158,3,0)</f>
        <v>Out</v>
      </c>
      <c r="H652" s="6" t="s">
        <v>1108</v>
      </c>
      <c r="I652" s="6" t="s">
        <v>1113</v>
      </c>
    </row>
    <row r="653" spans="1:9">
      <c r="A653" s="4">
        <v>1</v>
      </c>
      <c r="B653" s="5" t="s">
        <v>743</v>
      </c>
      <c r="C653" s="6">
        <v>1699</v>
      </c>
      <c r="D653" s="7">
        <v>5</v>
      </c>
      <c r="E653">
        <v>0.96430000000000005</v>
      </c>
      <c r="F653" s="1">
        <v>201</v>
      </c>
      <c r="G653" s="1" t="str">
        <f>VLOOKUP(F653,'Master(Ko Xóa)'!$F$2:$H$158,3,0)</f>
        <v>Out</v>
      </c>
      <c r="H653" s="6" t="s">
        <v>1108</v>
      </c>
      <c r="I653" s="6" t="s">
        <v>1113</v>
      </c>
    </row>
    <row r="654" spans="1:9">
      <c r="A654" s="4">
        <v>1</v>
      </c>
      <c r="B654" s="5" t="s">
        <v>744</v>
      </c>
      <c r="C654" s="6">
        <v>1699</v>
      </c>
      <c r="D654" s="7">
        <v>2</v>
      </c>
      <c r="E654">
        <v>0.44</v>
      </c>
      <c r="F654" s="1">
        <v>201</v>
      </c>
      <c r="G654" s="1" t="str">
        <f>VLOOKUP(F654,'Master(Ko Xóa)'!$F$2:$H$158,3,0)</f>
        <v>Out</v>
      </c>
      <c r="H654" s="6" t="s">
        <v>1108</v>
      </c>
      <c r="I654" s="6" t="s">
        <v>1113</v>
      </c>
    </row>
    <row r="655" spans="1:9">
      <c r="A655" s="4">
        <v>1</v>
      </c>
      <c r="B655" s="5" t="s">
        <v>745</v>
      </c>
      <c r="C655" s="6">
        <v>1699</v>
      </c>
      <c r="D655" s="7">
        <v>5</v>
      </c>
      <c r="E655">
        <v>0.36959999999999998</v>
      </c>
      <c r="F655" s="1">
        <v>201</v>
      </c>
      <c r="G655" s="1" t="str">
        <f>VLOOKUP(F655,'Master(Ko Xóa)'!$F$2:$H$158,3,0)</f>
        <v>Out</v>
      </c>
      <c r="H655" s="6" t="s">
        <v>1108</v>
      </c>
      <c r="I655" s="6" t="s">
        <v>1113</v>
      </c>
    </row>
    <row r="656" spans="1:9">
      <c r="A656" s="4">
        <v>1</v>
      </c>
      <c r="B656" s="5" t="s">
        <v>746</v>
      </c>
      <c r="C656" s="6">
        <v>1699</v>
      </c>
      <c r="D656" s="7">
        <v>5</v>
      </c>
      <c r="E656">
        <v>1.0246500000000001</v>
      </c>
      <c r="F656" s="1">
        <v>201</v>
      </c>
      <c r="G656" s="1" t="str">
        <f>VLOOKUP(F656,'Master(Ko Xóa)'!$F$2:$H$158,3,0)</f>
        <v>Out</v>
      </c>
      <c r="H656" s="6" t="s">
        <v>1108</v>
      </c>
      <c r="I656" s="6" t="s">
        <v>1113</v>
      </c>
    </row>
    <row r="657" spans="1:9">
      <c r="A657" s="4">
        <v>1</v>
      </c>
      <c r="B657" s="5" t="s">
        <v>747</v>
      </c>
      <c r="C657" s="6">
        <v>1699</v>
      </c>
      <c r="D657" s="7">
        <v>5</v>
      </c>
      <c r="E657">
        <v>0.1598</v>
      </c>
      <c r="F657" s="1">
        <v>201</v>
      </c>
      <c r="G657" s="1" t="str">
        <f>VLOOKUP(F657,'Master(Ko Xóa)'!$F$2:$H$158,3,0)</f>
        <v>Out</v>
      </c>
      <c r="H657" s="6" t="s">
        <v>1108</v>
      </c>
      <c r="I657" s="6" t="s">
        <v>1113</v>
      </c>
    </row>
    <row r="658" spans="1:9">
      <c r="A658" s="4">
        <v>1</v>
      </c>
      <c r="B658" s="5" t="s">
        <v>748</v>
      </c>
      <c r="C658" s="6">
        <v>1699</v>
      </c>
      <c r="D658" s="7">
        <v>5</v>
      </c>
      <c r="E658">
        <v>0.60870000000000002</v>
      </c>
      <c r="F658" s="1">
        <v>201</v>
      </c>
      <c r="G658" s="1" t="str">
        <f>VLOOKUP(F658,'Master(Ko Xóa)'!$F$2:$H$158,3,0)</f>
        <v>Out</v>
      </c>
      <c r="H658" s="6" t="s">
        <v>1108</v>
      </c>
      <c r="I658" s="6" t="s">
        <v>1113</v>
      </c>
    </row>
    <row r="659" spans="1:9">
      <c r="A659" s="4">
        <v>1</v>
      </c>
      <c r="B659" s="5" t="s">
        <v>749</v>
      </c>
      <c r="C659" s="6">
        <v>1699</v>
      </c>
      <c r="D659" s="7">
        <v>5</v>
      </c>
      <c r="E659">
        <v>1.00465</v>
      </c>
      <c r="F659" s="1">
        <v>201</v>
      </c>
      <c r="G659" s="1" t="str">
        <f>VLOOKUP(F659,'Master(Ko Xóa)'!$F$2:$H$158,3,0)</f>
        <v>Out</v>
      </c>
      <c r="H659" s="6" t="s">
        <v>1108</v>
      </c>
      <c r="I659" s="6" t="s">
        <v>1113</v>
      </c>
    </row>
    <row r="660" spans="1:9">
      <c r="A660" s="4">
        <v>1</v>
      </c>
      <c r="B660" s="5" t="s">
        <v>750</v>
      </c>
      <c r="C660" s="6">
        <v>1699</v>
      </c>
      <c r="D660" s="7">
        <v>5</v>
      </c>
      <c r="E660">
        <v>0.62250000000000005</v>
      </c>
      <c r="F660" s="1">
        <v>201</v>
      </c>
      <c r="G660" s="1" t="str">
        <f>VLOOKUP(F660,'Master(Ko Xóa)'!$F$2:$H$158,3,0)</f>
        <v>Out</v>
      </c>
      <c r="H660" s="6" t="s">
        <v>1108</v>
      </c>
      <c r="I660" s="6" t="s">
        <v>1113</v>
      </c>
    </row>
    <row r="661" spans="1:9">
      <c r="A661" s="4">
        <v>1</v>
      </c>
      <c r="B661" s="5" t="s">
        <v>751</v>
      </c>
      <c r="C661" s="6">
        <v>1699</v>
      </c>
      <c r="D661" s="7">
        <v>5</v>
      </c>
      <c r="E661">
        <v>0.36429999999999996</v>
      </c>
      <c r="F661" s="1">
        <v>201</v>
      </c>
      <c r="G661" s="1" t="str">
        <f>VLOOKUP(F661,'Master(Ko Xóa)'!$F$2:$H$158,3,0)</f>
        <v>Out</v>
      </c>
      <c r="H661" s="6" t="s">
        <v>1108</v>
      </c>
      <c r="I661" s="6" t="s">
        <v>1113</v>
      </c>
    </row>
    <row r="662" spans="1:9">
      <c r="A662" s="4">
        <v>1</v>
      </c>
      <c r="B662" s="5" t="s">
        <v>752</v>
      </c>
      <c r="C662" s="6">
        <v>1699</v>
      </c>
      <c r="D662" s="7">
        <v>5</v>
      </c>
      <c r="E662">
        <v>7.5899999999999995E-2</v>
      </c>
      <c r="F662" s="1">
        <v>201</v>
      </c>
      <c r="G662" s="1" t="str">
        <f>VLOOKUP(F662,'Master(Ko Xóa)'!$F$2:$H$158,3,0)</f>
        <v>Out</v>
      </c>
      <c r="H662" s="6" t="s">
        <v>1108</v>
      </c>
      <c r="I662" s="6" t="s">
        <v>1113</v>
      </c>
    </row>
    <row r="663" spans="1:9">
      <c r="A663" s="4">
        <v>1</v>
      </c>
      <c r="B663" s="5" t="s">
        <v>753</v>
      </c>
      <c r="C663" s="6">
        <v>1699</v>
      </c>
      <c r="D663" s="7">
        <v>5</v>
      </c>
      <c r="E663">
        <v>0.1968</v>
      </c>
      <c r="F663" s="1">
        <v>201</v>
      </c>
      <c r="G663" s="1" t="str">
        <f>VLOOKUP(F663,'Master(Ko Xóa)'!$F$2:$H$158,3,0)</f>
        <v>Out</v>
      </c>
      <c r="H663" s="6" t="s">
        <v>1108</v>
      </c>
      <c r="I663" s="6" t="s">
        <v>1113</v>
      </c>
    </row>
    <row r="664" spans="1:9">
      <c r="A664" s="4">
        <v>1</v>
      </c>
      <c r="B664" s="5" t="s">
        <v>754</v>
      </c>
      <c r="C664" s="6">
        <v>1699</v>
      </c>
      <c r="D664" s="7">
        <v>2</v>
      </c>
      <c r="E664">
        <v>6.9680000000000006E-2</v>
      </c>
      <c r="F664" s="1">
        <v>201</v>
      </c>
      <c r="G664" s="1" t="str">
        <f>VLOOKUP(F664,'Master(Ko Xóa)'!$F$2:$H$158,3,0)</f>
        <v>Out</v>
      </c>
      <c r="H664" s="6" t="s">
        <v>1108</v>
      </c>
      <c r="I664" s="6" t="s">
        <v>1113</v>
      </c>
    </row>
    <row r="665" spans="1:9">
      <c r="A665" s="4">
        <v>1</v>
      </c>
      <c r="B665" s="5" t="s">
        <v>755</v>
      </c>
      <c r="C665" s="6">
        <v>1699</v>
      </c>
      <c r="D665" s="7">
        <v>5</v>
      </c>
      <c r="E665">
        <v>0.1067</v>
      </c>
      <c r="F665" s="1">
        <v>201</v>
      </c>
      <c r="G665" s="1" t="str">
        <f>VLOOKUP(F665,'Master(Ko Xóa)'!$F$2:$H$158,3,0)</f>
        <v>Out</v>
      </c>
      <c r="H665" s="6" t="s">
        <v>1108</v>
      </c>
      <c r="I665" s="6" t="s">
        <v>1113</v>
      </c>
    </row>
    <row r="666" spans="1:9">
      <c r="A666" s="4">
        <v>1</v>
      </c>
      <c r="B666" s="5" t="s">
        <v>756</v>
      </c>
      <c r="C666" s="6">
        <v>1699</v>
      </c>
      <c r="D666" s="7">
        <v>5</v>
      </c>
      <c r="E666">
        <v>0.82750000000000001</v>
      </c>
      <c r="F666" s="1">
        <v>201</v>
      </c>
      <c r="G666" s="1" t="str">
        <f>VLOOKUP(F666,'Master(Ko Xóa)'!$F$2:$H$158,3,0)</f>
        <v>Out</v>
      </c>
      <c r="H666" s="6" t="s">
        <v>1108</v>
      </c>
      <c r="I666" s="6" t="s">
        <v>1113</v>
      </c>
    </row>
    <row r="667" spans="1:9">
      <c r="A667" s="4">
        <v>1</v>
      </c>
      <c r="B667" s="5" t="s">
        <v>757</v>
      </c>
      <c r="C667" s="6">
        <v>1699</v>
      </c>
      <c r="D667" s="7">
        <v>1</v>
      </c>
      <c r="E667">
        <v>0.72814000000000001</v>
      </c>
      <c r="F667" s="1">
        <v>201</v>
      </c>
      <c r="G667" s="1" t="str">
        <f>VLOOKUP(F667,'Master(Ko Xóa)'!$F$2:$H$158,3,0)</f>
        <v>Out</v>
      </c>
      <c r="H667" s="6" t="s">
        <v>1108</v>
      </c>
      <c r="I667" s="6" t="s">
        <v>1113</v>
      </c>
    </row>
    <row r="668" spans="1:9">
      <c r="A668" s="4">
        <v>1</v>
      </c>
      <c r="B668" s="5" t="s">
        <v>758</v>
      </c>
      <c r="C668" s="6">
        <v>1699</v>
      </c>
      <c r="D668" s="7">
        <v>1</v>
      </c>
      <c r="E668">
        <v>4.62012</v>
      </c>
      <c r="F668" s="1">
        <v>201</v>
      </c>
      <c r="G668" s="1" t="str">
        <f>VLOOKUP(F668,'Master(Ko Xóa)'!$F$2:$H$158,3,0)</f>
        <v>Out</v>
      </c>
      <c r="H668" s="6" t="s">
        <v>1108</v>
      </c>
      <c r="I668" s="6" t="s">
        <v>1113</v>
      </c>
    </row>
    <row r="669" spans="1:9">
      <c r="A669" s="4">
        <v>1</v>
      </c>
      <c r="B669" s="5" t="s">
        <v>759</v>
      </c>
      <c r="C669" s="6">
        <v>1699</v>
      </c>
      <c r="D669" s="7">
        <v>1</v>
      </c>
      <c r="E669">
        <v>6.7000000000000004E-2</v>
      </c>
      <c r="F669" s="1">
        <v>201</v>
      </c>
      <c r="G669" s="1" t="str">
        <f>VLOOKUP(F669,'Master(Ko Xóa)'!$F$2:$H$158,3,0)</f>
        <v>Out</v>
      </c>
      <c r="H669" s="6" t="s">
        <v>1108</v>
      </c>
      <c r="I669" s="6" t="s">
        <v>1113</v>
      </c>
    </row>
    <row r="670" spans="1:9">
      <c r="A670" s="4">
        <v>1</v>
      </c>
      <c r="B670" s="5" t="s">
        <v>760</v>
      </c>
      <c r="C670" s="6">
        <v>1699</v>
      </c>
      <c r="D670" s="7">
        <v>2</v>
      </c>
      <c r="E670">
        <v>0.22259999999999999</v>
      </c>
      <c r="F670" s="1">
        <v>201</v>
      </c>
      <c r="G670" s="1" t="str">
        <f>VLOOKUP(F670,'Master(Ko Xóa)'!$F$2:$H$158,3,0)</f>
        <v>Out</v>
      </c>
      <c r="H670" s="6" t="s">
        <v>1108</v>
      </c>
      <c r="I670" s="6" t="s">
        <v>1113</v>
      </c>
    </row>
    <row r="671" spans="1:9">
      <c r="A671" s="4">
        <v>1</v>
      </c>
      <c r="B671" s="5" t="s">
        <v>761</v>
      </c>
      <c r="C671" s="6">
        <v>1699</v>
      </c>
      <c r="D671" s="7">
        <v>1</v>
      </c>
      <c r="E671">
        <v>2.51457</v>
      </c>
      <c r="F671" s="1">
        <v>201</v>
      </c>
      <c r="G671" s="1" t="str">
        <f>VLOOKUP(F671,'Master(Ko Xóa)'!$F$2:$H$158,3,0)</f>
        <v>Out</v>
      </c>
      <c r="H671" s="6" t="s">
        <v>1108</v>
      </c>
      <c r="I671" s="6" t="s">
        <v>1113</v>
      </c>
    </row>
    <row r="672" spans="1:9">
      <c r="A672" s="4">
        <v>1</v>
      </c>
      <c r="B672" s="5" t="s">
        <v>762</v>
      </c>
      <c r="C672" s="6">
        <v>1699</v>
      </c>
      <c r="D672" s="7">
        <v>20</v>
      </c>
      <c r="E672">
        <v>8.199999999999999E-3</v>
      </c>
      <c r="F672" s="1">
        <v>201</v>
      </c>
      <c r="G672" s="1" t="str">
        <f>VLOOKUP(F672,'Master(Ko Xóa)'!$F$2:$H$158,3,0)</f>
        <v>Out</v>
      </c>
      <c r="H672" s="6" t="s">
        <v>1108</v>
      </c>
      <c r="I672" s="6" t="s">
        <v>1113</v>
      </c>
    </row>
    <row r="673" spans="1:9">
      <c r="A673" s="4">
        <v>1</v>
      </c>
      <c r="B673" s="5" t="s">
        <v>763</v>
      </c>
      <c r="C673" s="6">
        <v>1699</v>
      </c>
      <c r="D673" s="7">
        <v>20</v>
      </c>
      <c r="E673">
        <v>8.0000000000000002E-3</v>
      </c>
      <c r="F673" s="1">
        <v>201</v>
      </c>
      <c r="G673" s="1" t="str">
        <f>VLOOKUP(F673,'Master(Ko Xóa)'!$F$2:$H$158,3,0)</f>
        <v>Out</v>
      </c>
      <c r="H673" s="6" t="s">
        <v>1108</v>
      </c>
      <c r="I673" s="6" t="s">
        <v>1113</v>
      </c>
    </row>
    <row r="674" spans="1:9">
      <c r="A674" s="4">
        <v>1</v>
      </c>
      <c r="B674" s="5" t="s">
        <v>764</v>
      </c>
      <c r="C674" s="6">
        <v>1699</v>
      </c>
      <c r="D674" s="7">
        <v>20</v>
      </c>
      <c r="E674">
        <v>8.0000000000000002E-3</v>
      </c>
      <c r="F674" s="1">
        <v>201</v>
      </c>
      <c r="G674" s="1" t="str">
        <f>VLOOKUP(F674,'Master(Ko Xóa)'!$F$2:$H$158,3,0)</f>
        <v>Out</v>
      </c>
      <c r="H674" s="6" t="s">
        <v>1108</v>
      </c>
      <c r="I674" s="6" t="s">
        <v>1113</v>
      </c>
    </row>
    <row r="675" spans="1:9">
      <c r="A675" s="4">
        <v>1</v>
      </c>
      <c r="B675" s="5" t="s">
        <v>765</v>
      </c>
      <c r="C675" s="6">
        <v>1699</v>
      </c>
      <c r="D675" s="7">
        <v>10</v>
      </c>
      <c r="E675">
        <v>1.1299999999999999E-2</v>
      </c>
      <c r="F675" s="1">
        <v>201</v>
      </c>
      <c r="G675" s="1" t="str">
        <f>VLOOKUP(F675,'Master(Ko Xóa)'!$F$2:$H$158,3,0)</f>
        <v>Out</v>
      </c>
      <c r="H675" s="6" t="s">
        <v>1108</v>
      </c>
      <c r="I675" s="6" t="s">
        <v>1113</v>
      </c>
    </row>
    <row r="676" spans="1:9">
      <c r="A676" s="4">
        <v>1</v>
      </c>
      <c r="B676" s="5" t="s">
        <v>766</v>
      </c>
      <c r="C676" s="6">
        <v>1699</v>
      </c>
      <c r="D676" s="7">
        <v>10</v>
      </c>
      <c r="E676">
        <v>8.7300000000000003E-2</v>
      </c>
      <c r="F676" s="1">
        <v>201</v>
      </c>
      <c r="G676" s="1" t="str">
        <f>VLOOKUP(F676,'Master(Ko Xóa)'!$F$2:$H$158,3,0)</f>
        <v>Out</v>
      </c>
      <c r="H676" s="6" t="s">
        <v>1108</v>
      </c>
      <c r="I676" s="6" t="s">
        <v>1113</v>
      </c>
    </row>
    <row r="677" spans="1:9">
      <c r="A677" s="4">
        <v>1</v>
      </c>
      <c r="B677" s="5" t="s">
        <v>767</v>
      </c>
      <c r="C677" s="6">
        <v>1699</v>
      </c>
      <c r="D677" s="7">
        <v>20</v>
      </c>
      <c r="E677">
        <v>2.2599999999999999E-2</v>
      </c>
      <c r="F677" s="1">
        <v>201</v>
      </c>
      <c r="G677" s="1" t="str">
        <f>VLOOKUP(F677,'Master(Ko Xóa)'!$F$2:$H$158,3,0)</f>
        <v>Out</v>
      </c>
      <c r="H677" s="6" t="s">
        <v>1108</v>
      </c>
      <c r="I677" s="6" t="s">
        <v>1113</v>
      </c>
    </row>
    <row r="678" spans="1:9">
      <c r="A678" s="4">
        <v>1</v>
      </c>
      <c r="B678" s="5" t="s">
        <v>768</v>
      </c>
      <c r="C678" s="6">
        <v>1699</v>
      </c>
      <c r="D678" s="7">
        <v>10</v>
      </c>
      <c r="E678">
        <v>0.1129</v>
      </c>
      <c r="F678" s="1">
        <v>201</v>
      </c>
      <c r="G678" s="1" t="str">
        <f>VLOOKUP(F678,'Master(Ko Xóa)'!$F$2:$H$158,3,0)</f>
        <v>Out</v>
      </c>
      <c r="H678" s="6" t="s">
        <v>1108</v>
      </c>
      <c r="I678" s="6" t="s">
        <v>1113</v>
      </c>
    </row>
    <row r="679" spans="1:9">
      <c r="A679" s="4">
        <v>1</v>
      </c>
      <c r="B679" s="5" t="s">
        <v>769</v>
      </c>
      <c r="C679" s="6">
        <v>1699</v>
      </c>
      <c r="D679" s="7">
        <v>10</v>
      </c>
      <c r="E679">
        <v>5.3499999999999999E-2</v>
      </c>
      <c r="F679" s="1">
        <v>201</v>
      </c>
      <c r="G679" s="1" t="str">
        <f>VLOOKUP(F679,'Master(Ko Xóa)'!$F$2:$H$158,3,0)</f>
        <v>Out</v>
      </c>
      <c r="H679" s="6" t="s">
        <v>1108</v>
      </c>
      <c r="I679" s="6" t="s">
        <v>1113</v>
      </c>
    </row>
    <row r="680" spans="1:9">
      <c r="A680" s="4">
        <v>1</v>
      </c>
      <c r="B680" s="5" t="s">
        <v>770</v>
      </c>
      <c r="C680" s="6">
        <v>1699</v>
      </c>
      <c r="D680" s="7">
        <v>5</v>
      </c>
      <c r="E680">
        <v>5.0250000000000003E-2</v>
      </c>
      <c r="F680" s="1">
        <v>201</v>
      </c>
      <c r="G680" s="1" t="str">
        <f>VLOOKUP(F680,'Master(Ko Xóa)'!$F$2:$H$158,3,0)</f>
        <v>Out</v>
      </c>
      <c r="H680" s="6" t="s">
        <v>1108</v>
      </c>
      <c r="I680" s="6" t="s">
        <v>1113</v>
      </c>
    </row>
    <row r="681" spans="1:9">
      <c r="A681" s="4">
        <v>1</v>
      </c>
      <c r="B681" s="5" t="s">
        <v>771</v>
      </c>
      <c r="C681" s="6">
        <v>1699</v>
      </c>
      <c r="D681" s="7">
        <v>10</v>
      </c>
      <c r="E681">
        <v>0.26690000000000003</v>
      </c>
      <c r="F681" s="1">
        <v>201</v>
      </c>
      <c r="G681" s="1" t="str">
        <f>VLOOKUP(F681,'Master(Ko Xóa)'!$F$2:$H$158,3,0)</f>
        <v>Out</v>
      </c>
      <c r="H681" s="6" t="s">
        <v>1108</v>
      </c>
      <c r="I681" s="6" t="s">
        <v>1113</v>
      </c>
    </row>
    <row r="682" spans="1:9">
      <c r="A682" s="4">
        <v>1</v>
      </c>
      <c r="B682" s="5" t="s">
        <v>772</v>
      </c>
      <c r="C682" s="6">
        <v>1699</v>
      </c>
      <c r="D682" s="7">
        <v>10</v>
      </c>
      <c r="E682">
        <v>0.1</v>
      </c>
      <c r="F682" s="1">
        <v>201</v>
      </c>
      <c r="G682" s="1" t="str">
        <f>VLOOKUP(F682,'Master(Ko Xóa)'!$F$2:$H$158,3,0)</f>
        <v>Out</v>
      </c>
      <c r="H682" s="6" t="s">
        <v>1108</v>
      </c>
      <c r="I682" s="6" t="s">
        <v>1113</v>
      </c>
    </row>
    <row r="683" spans="1:9">
      <c r="A683" s="4">
        <v>1</v>
      </c>
      <c r="B683" s="5" t="s">
        <v>773</v>
      </c>
      <c r="C683" s="6">
        <v>1699</v>
      </c>
      <c r="D683" s="7">
        <v>20</v>
      </c>
      <c r="E683">
        <v>3.7400000000000003E-2</v>
      </c>
      <c r="F683" s="1">
        <v>201</v>
      </c>
      <c r="G683" s="1" t="str">
        <f>VLOOKUP(F683,'Master(Ko Xóa)'!$F$2:$H$158,3,0)</f>
        <v>Out</v>
      </c>
      <c r="H683" s="6" t="s">
        <v>1108</v>
      </c>
      <c r="I683" s="6" t="s">
        <v>1113</v>
      </c>
    </row>
    <row r="684" spans="1:9">
      <c r="A684" s="4">
        <v>1</v>
      </c>
      <c r="B684" s="5" t="s">
        <v>774</v>
      </c>
      <c r="C684" s="6">
        <v>1699</v>
      </c>
      <c r="D684" s="7">
        <v>1</v>
      </c>
      <c r="E684">
        <v>3.1960000000000002E-2</v>
      </c>
      <c r="F684" s="1">
        <v>201</v>
      </c>
      <c r="G684" s="1" t="str">
        <f>VLOOKUP(F684,'Master(Ko Xóa)'!$F$2:$H$158,3,0)</f>
        <v>Out</v>
      </c>
      <c r="H684" s="6" t="s">
        <v>1108</v>
      </c>
      <c r="I684" s="6" t="s">
        <v>1113</v>
      </c>
    </row>
    <row r="685" spans="1:9">
      <c r="A685" s="4">
        <v>1</v>
      </c>
      <c r="B685" s="5" t="s">
        <v>775</v>
      </c>
      <c r="C685" s="6">
        <v>1699</v>
      </c>
      <c r="D685" s="7">
        <v>20</v>
      </c>
      <c r="E685">
        <v>7.3200000000000001E-2</v>
      </c>
      <c r="F685" s="1">
        <v>201</v>
      </c>
      <c r="G685" s="1" t="str">
        <f>VLOOKUP(F685,'Master(Ko Xóa)'!$F$2:$H$158,3,0)</f>
        <v>Out</v>
      </c>
      <c r="H685" s="6" t="s">
        <v>1108</v>
      </c>
      <c r="I685" s="6" t="s">
        <v>1113</v>
      </c>
    </row>
    <row r="686" spans="1:9">
      <c r="A686" s="4">
        <v>1</v>
      </c>
      <c r="B686" s="5" t="s">
        <v>776</v>
      </c>
      <c r="C686" s="6">
        <v>1699</v>
      </c>
      <c r="D686" s="7">
        <v>1</v>
      </c>
      <c r="E686">
        <v>2.5049999999999999E-2</v>
      </c>
      <c r="F686" s="1">
        <v>201</v>
      </c>
      <c r="G686" s="1" t="str">
        <f>VLOOKUP(F686,'Master(Ko Xóa)'!$F$2:$H$158,3,0)</f>
        <v>Out</v>
      </c>
      <c r="H686" s="6" t="s">
        <v>1108</v>
      </c>
      <c r="I686" s="6" t="s">
        <v>1113</v>
      </c>
    </row>
    <row r="687" spans="1:9">
      <c r="A687" s="4">
        <v>1</v>
      </c>
      <c r="B687" s="5" t="s">
        <v>777</v>
      </c>
      <c r="C687" s="6">
        <v>1699</v>
      </c>
      <c r="D687" s="7">
        <v>20</v>
      </c>
      <c r="E687">
        <v>1.8200000000000001E-2</v>
      </c>
      <c r="F687" s="1">
        <v>201</v>
      </c>
      <c r="G687" s="1" t="str">
        <f>VLOOKUP(F687,'Master(Ko Xóa)'!$F$2:$H$158,3,0)</f>
        <v>Out</v>
      </c>
      <c r="H687" s="6" t="s">
        <v>1108</v>
      </c>
      <c r="I687" s="6" t="s">
        <v>1113</v>
      </c>
    </row>
    <row r="688" spans="1:9">
      <c r="A688" s="4">
        <v>1</v>
      </c>
      <c r="B688" s="5" t="s">
        <v>778</v>
      </c>
      <c r="C688" s="6">
        <v>1699</v>
      </c>
      <c r="D688" s="7">
        <v>20</v>
      </c>
      <c r="E688">
        <v>1.4999999999999999E-2</v>
      </c>
      <c r="F688" s="1">
        <v>201</v>
      </c>
      <c r="G688" s="1" t="str">
        <f>VLOOKUP(F688,'Master(Ko Xóa)'!$F$2:$H$158,3,0)</f>
        <v>Out</v>
      </c>
      <c r="H688" s="6" t="s">
        <v>1108</v>
      </c>
      <c r="I688" s="6" t="s">
        <v>1113</v>
      </c>
    </row>
    <row r="689" spans="1:9">
      <c r="A689" s="4">
        <v>1</v>
      </c>
      <c r="B689" s="5" t="s">
        <v>779</v>
      </c>
      <c r="C689" s="6">
        <v>1699</v>
      </c>
      <c r="D689" s="7">
        <v>20</v>
      </c>
      <c r="E689">
        <v>0.06</v>
      </c>
      <c r="F689" s="1">
        <v>201</v>
      </c>
      <c r="G689" s="1" t="str">
        <f>VLOOKUP(F689,'Master(Ko Xóa)'!$F$2:$H$158,3,0)</f>
        <v>Out</v>
      </c>
      <c r="H689" s="6" t="s">
        <v>1108</v>
      </c>
      <c r="I689" s="6" t="s">
        <v>1113</v>
      </c>
    </row>
    <row r="690" spans="1:9">
      <c r="A690" s="4">
        <v>1</v>
      </c>
      <c r="B690" s="5" t="s">
        <v>780</v>
      </c>
      <c r="C690" s="6">
        <v>1699</v>
      </c>
      <c r="D690" s="7">
        <v>20</v>
      </c>
      <c r="E690">
        <v>0.01</v>
      </c>
      <c r="F690" s="1">
        <v>201</v>
      </c>
      <c r="G690" s="1" t="str">
        <f>VLOOKUP(F690,'Master(Ko Xóa)'!$F$2:$H$158,3,0)</f>
        <v>Out</v>
      </c>
      <c r="H690" s="6" t="s">
        <v>1108</v>
      </c>
      <c r="I690" s="6" t="s">
        <v>1113</v>
      </c>
    </row>
    <row r="691" spans="1:9">
      <c r="A691" s="4">
        <v>1</v>
      </c>
      <c r="B691" s="5" t="s">
        <v>781</v>
      </c>
      <c r="C691" s="6">
        <v>1699</v>
      </c>
      <c r="D691" s="7">
        <v>20</v>
      </c>
      <c r="E691">
        <v>1.4199999999999997E-2</v>
      </c>
      <c r="F691" s="1">
        <v>201</v>
      </c>
      <c r="G691" s="1" t="str">
        <f>VLOOKUP(F691,'Master(Ko Xóa)'!$F$2:$H$158,3,0)</f>
        <v>Out</v>
      </c>
      <c r="H691" s="6" t="s">
        <v>1108</v>
      </c>
      <c r="I691" s="6" t="s">
        <v>1113</v>
      </c>
    </row>
    <row r="692" spans="1:9">
      <c r="A692" s="4">
        <v>1</v>
      </c>
      <c r="B692" s="5" t="s">
        <v>782</v>
      </c>
      <c r="C692" s="6">
        <v>1699</v>
      </c>
      <c r="D692" s="7">
        <v>20</v>
      </c>
      <c r="E692">
        <v>0.01</v>
      </c>
      <c r="F692" s="1">
        <v>201</v>
      </c>
      <c r="G692" s="1" t="str">
        <f>VLOOKUP(F692,'Master(Ko Xóa)'!$F$2:$H$158,3,0)</f>
        <v>Out</v>
      </c>
      <c r="H692" s="6" t="s">
        <v>1108</v>
      </c>
      <c r="I692" s="6" t="s">
        <v>1113</v>
      </c>
    </row>
    <row r="693" spans="1:9">
      <c r="A693" s="4">
        <v>1</v>
      </c>
      <c r="B693" s="5" t="s">
        <v>783</v>
      </c>
      <c r="C693" s="6">
        <v>1699</v>
      </c>
      <c r="D693" s="7">
        <v>20</v>
      </c>
      <c r="E693">
        <v>0.10139999999999999</v>
      </c>
      <c r="F693" s="1">
        <v>201</v>
      </c>
      <c r="G693" s="1" t="str">
        <f>VLOOKUP(F693,'Master(Ko Xóa)'!$F$2:$H$158,3,0)</f>
        <v>Out</v>
      </c>
      <c r="H693" s="6" t="s">
        <v>1108</v>
      </c>
      <c r="I693" s="6" t="s">
        <v>1113</v>
      </c>
    </row>
    <row r="694" spans="1:9">
      <c r="A694" s="4">
        <v>1</v>
      </c>
      <c r="B694" s="5" t="s">
        <v>784</v>
      </c>
      <c r="C694" s="6">
        <v>1699</v>
      </c>
      <c r="D694" s="7">
        <v>20</v>
      </c>
      <c r="E694">
        <v>2.4199999999999999E-2</v>
      </c>
      <c r="F694" s="1">
        <v>201</v>
      </c>
      <c r="G694" s="1" t="str">
        <f>VLOOKUP(F694,'Master(Ko Xóa)'!$F$2:$H$158,3,0)</f>
        <v>Out</v>
      </c>
      <c r="H694" s="6" t="s">
        <v>1108</v>
      </c>
      <c r="I694" s="6" t="s">
        <v>1113</v>
      </c>
    </row>
    <row r="695" spans="1:9">
      <c r="A695" s="4">
        <v>1</v>
      </c>
      <c r="B695" s="5" t="s">
        <v>785</v>
      </c>
      <c r="C695" s="6">
        <v>1699</v>
      </c>
      <c r="D695" s="7">
        <v>20</v>
      </c>
      <c r="E695">
        <v>0.1714</v>
      </c>
      <c r="F695" s="1">
        <v>201</v>
      </c>
      <c r="G695" s="1" t="str">
        <f>VLOOKUP(F695,'Master(Ko Xóa)'!$F$2:$H$158,3,0)</f>
        <v>Out</v>
      </c>
      <c r="H695" s="6" t="s">
        <v>1108</v>
      </c>
      <c r="I695" s="6" t="s">
        <v>1113</v>
      </c>
    </row>
    <row r="696" spans="1:9">
      <c r="A696" s="4">
        <v>1</v>
      </c>
      <c r="B696" s="5" t="s">
        <v>786</v>
      </c>
      <c r="C696" s="6">
        <v>1699</v>
      </c>
      <c r="D696" s="7">
        <v>20</v>
      </c>
      <c r="E696">
        <v>7.7199999999999991E-2</v>
      </c>
      <c r="F696" s="1">
        <v>201</v>
      </c>
      <c r="G696" s="1" t="str">
        <f>VLOOKUP(F696,'Master(Ko Xóa)'!$F$2:$H$158,3,0)</f>
        <v>Out</v>
      </c>
      <c r="H696" s="6" t="s">
        <v>1108</v>
      </c>
      <c r="I696" s="6" t="s">
        <v>1113</v>
      </c>
    </row>
    <row r="697" spans="1:9">
      <c r="A697" s="4">
        <v>1</v>
      </c>
      <c r="B697" s="5" t="s">
        <v>787</v>
      </c>
      <c r="C697" s="6">
        <v>1699</v>
      </c>
      <c r="D697" s="7">
        <v>20</v>
      </c>
      <c r="E697">
        <v>2.3999999999999997E-2</v>
      </c>
      <c r="F697" s="1">
        <v>201</v>
      </c>
      <c r="G697" s="1" t="str">
        <f>VLOOKUP(F697,'Master(Ko Xóa)'!$F$2:$H$158,3,0)</f>
        <v>Out</v>
      </c>
      <c r="H697" s="6" t="s">
        <v>1108</v>
      </c>
      <c r="I697" s="6" t="s">
        <v>1113</v>
      </c>
    </row>
    <row r="698" spans="1:9">
      <c r="A698" s="4">
        <v>1</v>
      </c>
      <c r="B698" s="5" t="s">
        <v>788</v>
      </c>
      <c r="C698" s="6">
        <v>1699</v>
      </c>
      <c r="D698" s="7">
        <v>10</v>
      </c>
      <c r="E698">
        <v>1.1999999999999999E-2</v>
      </c>
      <c r="F698" s="1">
        <v>201</v>
      </c>
      <c r="G698" s="1" t="str">
        <f>VLOOKUP(F698,'Master(Ko Xóa)'!$F$2:$H$158,3,0)</f>
        <v>Out</v>
      </c>
      <c r="H698" s="6" t="s">
        <v>1108</v>
      </c>
      <c r="I698" s="6" t="s">
        <v>1113</v>
      </c>
    </row>
    <row r="699" spans="1:9">
      <c r="A699" s="4">
        <v>1</v>
      </c>
      <c r="B699" s="5" t="s">
        <v>789</v>
      </c>
      <c r="C699" s="6">
        <v>1699</v>
      </c>
      <c r="D699" s="7">
        <v>20</v>
      </c>
      <c r="E699">
        <v>0.5</v>
      </c>
      <c r="F699" s="1">
        <v>201</v>
      </c>
      <c r="G699" s="1" t="str">
        <f>VLOOKUP(F699,'Master(Ko Xóa)'!$F$2:$H$158,3,0)</f>
        <v>Out</v>
      </c>
      <c r="H699" s="6" t="s">
        <v>1108</v>
      </c>
      <c r="I699" s="6" t="s">
        <v>1113</v>
      </c>
    </row>
    <row r="700" spans="1:9">
      <c r="A700" s="4">
        <v>1</v>
      </c>
      <c r="B700" s="5" t="s">
        <v>790</v>
      </c>
      <c r="C700" s="6">
        <v>1699</v>
      </c>
      <c r="D700" s="7">
        <v>10</v>
      </c>
      <c r="E700">
        <v>2.3999999999999997E-2</v>
      </c>
      <c r="F700" s="1">
        <v>201</v>
      </c>
      <c r="G700" s="1" t="str">
        <f>VLOOKUP(F700,'Master(Ko Xóa)'!$F$2:$H$158,3,0)</f>
        <v>Out</v>
      </c>
      <c r="H700" s="6" t="s">
        <v>1108</v>
      </c>
      <c r="I700" s="6" t="s">
        <v>1113</v>
      </c>
    </row>
    <row r="701" spans="1:9">
      <c r="A701" s="4">
        <v>1</v>
      </c>
      <c r="B701" s="5" t="s">
        <v>453</v>
      </c>
      <c r="C701" s="6">
        <v>1699</v>
      </c>
      <c r="D701" s="7">
        <v>10</v>
      </c>
      <c r="E701">
        <v>4.8499999999999995E-2</v>
      </c>
      <c r="F701" s="1">
        <v>201</v>
      </c>
      <c r="G701" s="1" t="str">
        <f>VLOOKUP(F701,'Master(Ko Xóa)'!$F$2:$H$158,3,0)</f>
        <v>Out</v>
      </c>
      <c r="H701" s="6" t="s">
        <v>1108</v>
      </c>
      <c r="I701" s="6" t="s">
        <v>1113</v>
      </c>
    </row>
    <row r="702" spans="1:9">
      <c r="A702" s="4">
        <v>1</v>
      </c>
      <c r="B702" s="5" t="s">
        <v>791</v>
      </c>
      <c r="C702" s="6">
        <v>1699</v>
      </c>
      <c r="D702" s="7">
        <v>20</v>
      </c>
      <c r="E702">
        <v>0.53579999999999994</v>
      </c>
      <c r="F702" s="1">
        <v>201</v>
      </c>
      <c r="G702" s="1" t="str">
        <f>VLOOKUP(F702,'Master(Ko Xóa)'!$F$2:$H$158,3,0)</f>
        <v>Out</v>
      </c>
      <c r="H702" s="6" t="s">
        <v>1108</v>
      </c>
      <c r="I702" s="6" t="s">
        <v>1113</v>
      </c>
    </row>
    <row r="703" spans="1:9">
      <c r="A703" s="4">
        <v>1</v>
      </c>
      <c r="B703" s="5" t="s">
        <v>792</v>
      </c>
      <c r="C703" s="6">
        <v>1699</v>
      </c>
      <c r="D703" s="7">
        <v>20</v>
      </c>
      <c r="E703">
        <v>0.35859999999999997</v>
      </c>
      <c r="F703" s="1">
        <v>201</v>
      </c>
      <c r="G703" s="1" t="str">
        <f>VLOOKUP(F703,'Master(Ko Xóa)'!$F$2:$H$158,3,0)</f>
        <v>Out</v>
      </c>
      <c r="H703" s="6" t="s">
        <v>1108</v>
      </c>
      <c r="I703" s="6" t="s">
        <v>1113</v>
      </c>
    </row>
    <row r="704" spans="1:9">
      <c r="A704" s="4">
        <v>1</v>
      </c>
      <c r="B704" s="5" t="s">
        <v>793</v>
      </c>
      <c r="C704" s="6">
        <v>1699</v>
      </c>
      <c r="D704" s="7">
        <v>10</v>
      </c>
      <c r="E704">
        <v>0.13070000000000001</v>
      </c>
      <c r="F704" s="1">
        <v>201</v>
      </c>
      <c r="G704" s="1" t="str">
        <f>VLOOKUP(F704,'Master(Ko Xóa)'!$F$2:$H$158,3,0)</f>
        <v>Out</v>
      </c>
      <c r="H704" s="6" t="s">
        <v>1108</v>
      </c>
      <c r="I704" s="6" t="s">
        <v>1113</v>
      </c>
    </row>
    <row r="705" spans="1:9">
      <c r="A705" s="4">
        <v>1</v>
      </c>
      <c r="B705" s="5" t="s">
        <v>794</v>
      </c>
      <c r="C705" s="6">
        <v>1699</v>
      </c>
      <c r="D705" s="7">
        <v>10</v>
      </c>
      <c r="E705">
        <v>0.40640000000000004</v>
      </c>
      <c r="F705" s="1">
        <v>201</v>
      </c>
      <c r="G705" s="1" t="str">
        <f>VLOOKUP(F705,'Master(Ko Xóa)'!$F$2:$H$158,3,0)</f>
        <v>Out</v>
      </c>
      <c r="H705" s="6" t="s">
        <v>1108</v>
      </c>
      <c r="I705" s="6" t="s">
        <v>1113</v>
      </c>
    </row>
    <row r="706" spans="1:9">
      <c r="A706" s="4">
        <v>1</v>
      </c>
      <c r="B706" s="5" t="s">
        <v>795</v>
      </c>
      <c r="C706" s="6">
        <v>1699</v>
      </c>
      <c r="D706" s="7">
        <v>10</v>
      </c>
      <c r="E706">
        <v>0.38789999999999997</v>
      </c>
      <c r="F706" s="1">
        <v>201</v>
      </c>
      <c r="G706" s="1" t="str">
        <f>VLOOKUP(F706,'Master(Ko Xóa)'!$F$2:$H$158,3,0)</f>
        <v>Out</v>
      </c>
      <c r="H706" s="6" t="s">
        <v>1108</v>
      </c>
      <c r="I706" s="6" t="s">
        <v>1113</v>
      </c>
    </row>
    <row r="707" spans="1:9">
      <c r="A707" s="4">
        <v>1</v>
      </c>
      <c r="B707" s="5" t="s">
        <v>796</v>
      </c>
      <c r="C707" s="6">
        <v>1699</v>
      </c>
      <c r="D707" s="7">
        <v>10</v>
      </c>
      <c r="E707">
        <v>0.4471</v>
      </c>
      <c r="F707" s="1">
        <v>201</v>
      </c>
      <c r="G707" s="1" t="str">
        <f>VLOOKUP(F707,'Master(Ko Xóa)'!$F$2:$H$158,3,0)</f>
        <v>Out</v>
      </c>
      <c r="H707" s="6" t="s">
        <v>1108</v>
      </c>
      <c r="I707" s="6" t="s">
        <v>1113</v>
      </c>
    </row>
    <row r="708" spans="1:9">
      <c r="A708" s="4">
        <v>1</v>
      </c>
      <c r="B708" s="5" t="s">
        <v>797</v>
      </c>
      <c r="C708" s="6">
        <v>1699</v>
      </c>
      <c r="D708" s="7">
        <v>10</v>
      </c>
      <c r="E708">
        <v>0.13140000000000002</v>
      </c>
      <c r="F708" s="1">
        <v>201</v>
      </c>
      <c r="G708" s="1" t="str">
        <f>VLOOKUP(F708,'Master(Ko Xóa)'!$F$2:$H$158,3,0)</f>
        <v>Out</v>
      </c>
      <c r="H708" s="6" t="s">
        <v>1108</v>
      </c>
      <c r="I708" s="6" t="s">
        <v>1113</v>
      </c>
    </row>
    <row r="709" spans="1:9">
      <c r="A709" s="4">
        <v>1</v>
      </c>
      <c r="B709" s="5" t="s">
        <v>798</v>
      </c>
      <c r="C709" s="6">
        <v>1699</v>
      </c>
      <c r="D709" s="7">
        <v>10</v>
      </c>
      <c r="E709">
        <v>0.22499999999999998</v>
      </c>
      <c r="F709" s="1">
        <v>201</v>
      </c>
      <c r="G709" s="1" t="str">
        <f>VLOOKUP(F709,'Master(Ko Xóa)'!$F$2:$H$158,3,0)</f>
        <v>Out</v>
      </c>
      <c r="H709" s="6" t="s">
        <v>1108</v>
      </c>
      <c r="I709" s="6" t="s">
        <v>1113</v>
      </c>
    </row>
    <row r="710" spans="1:9">
      <c r="A710" s="4">
        <v>1</v>
      </c>
      <c r="B710" s="5" t="s">
        <v>799</v>
      </c>
      <c r="C710" s="6">
        <v>1699</v>
      </c>
      <c r="D710" s="7">
        <v>20</v>
      </c>
      <c r="E710">
        <v>2.5800000000000003E-2</v>
      </c>
      <c r="F710" s="1">
        <v>201</v>
      </c>
      <c r="G710" s="1" t="str">
        <f>VLOOKUP(F710,'Master(Ko Xóa)'!$F$2:$H$158,3,0)</f>
        <v>Out</v>
      </c>
      <c r="H710" s="6" t="s">
        <v>1108</v>
      </c>
      <c r="I710" s="6" t="s">
        <v>1113</v>
      </c>
    </row>
    <row r="711" spans="1:9">
      <c r="A711" s="4">
        <v>1</v>
      </c>
      <c r="B711" s="5" t="s">
        <v>800</v>
      </c>
      <c r="C711" s="6">
        <v>1699</v>
      </c>
      <c r="D711" s="7">
        <v>20</v>
      </c>
      <c r="E711">
        <v>8.6E-3</v>
      </c>
      <c r="F711" s="1">
        <v>201</v>
      </c>
      <c r="G711" s="1" t="str">
        <f>VLOOKUP(F711,'Master(Ko Xóa)'!$F$2:$H$158,3,0)</f>
        <v>Out</v>
      </c>
      <c r="H711" s="6" t="s">
        <v>1108</v>
      </c>
      <c r="I711" s="6" t="s">
        <v>1113</v>
      </c>
    </row>
    <row r="712" spans="1:9">
      <c r="A712" s="4">
        <v>1</v>
      </c>
      <c r="B712" s="5" t="s">
        <v>801</v>
      </c>
      <c r="C712" s="6">
        <v>1699</v>
      </c>
      <c r="D712" s="7">
        <v>40</v>
      </c>
      <c r="E712">
        <v>2.5600000000000001E-2</v>
      </c>
      <c r="F712" s="1">
        <v>201</v>
      </c>
      <c r="G712" s="1" t="str">
        <f>VLOOKUP(F712,'Master(Ko Xóa)'!$F$2:$H$158,3,0)</f>
        <v>Out</v>
      </c>
      <c r="H712" s="6" t="s">
        <v>1108</v>
      </c>
      <c r="I712" s="6" t="s">
        <v>1113</v>
      </c>
    </row>
    <row r="713" spans="1:9">
      <c r="A713" s="4">
        <v>1</v>
      </c>
      <c r="B713" s="5" t="s">
        <v>161</v>
      </c>
      <c r="C713" s="6">
        <v>1699</v>
      </c>
      <c r="D713" s="7">
        <v>20</v>
      </c>
      <c r="E713">
        <v>1.2800000000000001E-2</v>
      </c>
      <c r="F713" s="1">
        <v>201</v>
      </c>
      <c r="G713" s="1" t="str">
        <f>VLOOKUP(F713,'Master(Ko Xóa)'!$F$2:$H$158,3,0)</f>
        <v>Out</v>
      </c>
      <c r="H713" s="6" t="s">
        <v>1108</v>
      </c>
      <c r="I713" s="6" t="s">
        <v>1113</v>
      </c>
    </row>
    <row r="714" spans="1:9">
      <c r="A714" s="4">
        <v>1</v>
      </c>
      <c r="B714" s="5" t="s">
        <v>802</v>
      </c>
      <c r="C714" s="6">
        <v>1699</v>
      </c>
      <c r="D714" s="7">
        <v>20</v>
      </c>
      <c r="E714">
        <v>5.8600000000000006E-2</v>
      </c>
      <c r="F714" s="1">
        <v>201</v>
      </c>
      <c r="G714" s="1" t="str">
        <f>VLOOKUP(F714,'Master(Ko Xóa)'!$F$2:$H$158,3,0)</f>
        <v>Out</v>
      </c>
      <c r="H714" s="6" t="s">
        <v>1108</v>
      </c>
      <c r="I714" s="6" t="s">
        <v>1113</v>
      </c>
    </row>
    <row r="715" spans="1:9">
      <c r="A715" s="4">
        <v>1</v>
      </c>
      <c r="B715" s="5" t="s">
        <v>803</v>
      </c>
      <c r="C715" s="6">
        <v>1699</v>
      </c>
      <c r="D715" s="7">
        <v>20</v>
      </c>
      <c r="E715">
        <v>5.8600000000000006E-2</v>
      </c>
      <c r="F715" s="1">
        <v>201</v>
      </c>
      <c r="G715" s="1" t="str">
        <f>VLOOKUP(F715,'Master(Ko Xóa)'!$F$2:$H$158,3,0)</f>
        <v>Out</v>
      </c>
      <c r="H715" s="6" t="s">
        <v>1108</v>
      </c>
      <c r="I715" s="6" t="s">
        <v>1113</v>
      </c>
    </row>
    <row r="716" spans="1:9">
      <c r="A716" s="4">
        <v>1</v>
      </c>
      <c r="B716" s="5" t="s">
        <v>804</v>
      </c>
      <c r="C716" s="6">
        <v>1699</v>
      </c>
      <c r="D716" s="7">
        <v>5</v>
      </c>
      <c r="E716">
        <v>0.1482</v>
      </c>
      <c r="F716" s="1">
        <v>201</v>
      </c>
      <c r="G716" s="1" t="str">
        <f>VLOOKUP(F716,'Master(Ko Xóa)'!$F$2:$H$158,3,0)</f>
        <v>Out</v>
      </c>
      <c r="H716" s="6" t="s">
        <v>1108</v>
      </c>
      <c r="I716" s="6" t="s">
        <v>1113</v>
      </c>
    </row>
    <row r="717" spans="1:9">
      <c r="A717" s="4">
        <v>1</v>
      </c>
      <c r="B717" s="5" t="s">
        <v>805</v>
      </c>
      <c r="C717" s="6">
        <v>1699</v>
      </c>
      <c r="D717" s="7">
        <v>20</v>
      </c>
      <c r="E717">
        <v>0.01</v>
      </c>
      <c r="F717" s="1">
        <v>201</v>
      </c>
      <c r="G717" s="1" t="str">
        <f>VLOOKUP(F717,'Master(Ko Xóa)'!$F$2:$H$158,3,0)</f>
        <v>Out</v>
      </c>
      <c r="H717" s="6" t="s">
        <v>1108</v>
      </c>
      <c r="I717" s="6" t="s">
        <v>1113</v>
      </c>
    </row>
    <row r="718" spans="1:9">
      <c r="A718" s="4">
        <v>1</v>
      </c>
      <c r="B718" s="5" t="s">
        <v>806</v>
      </c>
      <c r="C718" s="6">
        <v>1699</v>
      </c>
      <c r="D718" s="7">
        <v>20</v>
      </c>
      <c r="E718">
        <v>1.2800000000000001E-2</v>
      </c>
      <c r="F718" s="1">
        <v>201</v>
      </c>
      <c r="G718" s="1" t="str">
        <f>VLOOKUP(F718,'Master(Ko Xóa)'!$F$2:$H$158,3,0)</f>
        <v>Out</v>
      </c>
      <c r="H718" s="6" t="s">
        <v>1108</v>
      </c>
      <c r="I718" s="6" t="s">
        <v>1113</v>
      </c>
    </row>
    <row r="719" spans="1:9">
      <c r="A719" s="4">
        <v>1</v>
      </c>
      <c r="B719" s="5" t="s">
        <v>807</v>
      </c>
      <c r="C719" s="6">
        <v>1699</v>
      </c>
      <c r="D719" s="7">
        <v>20</v>
      </c>
      <c r="E719">
        <v>1.72E-2</v>
      </c>
      <c r="F719" s="1">
        <v>201</v>
      </c>
      <c r="G719" s="1" t="str">
        <f>VLOOKUP(F719,'Master(Ko Xóa)'!$F$2:$H$158,3,0)</f>
        <v>Out</v>
      </c>
      <c r="H719" s="6" t="s">
        <v>1108</v>
      </c>
      <c r="I719" s="6" t="s">
        <v>1113</v>
      </c>
    </row>
    <row r="720" spans="1:9">
      <c r="A720" s="4">
        <v>1</v>
      </c>
      <c r="B720" s="5" t="s">
        <v>808</v>
      </c>
      <c r="C720" s="6">
        <v>1699</v>
      </c>
      <c r="D720" s="7">
        <v>20</v>
      </c>
      <c r="E720">
        <v>1.2800000000000001E-2</v>
      </c>
      <c r="F720" s="1">
        <v>201</v>
      </c>
      <c r="G720" s="1" t="str">
        <f>VLOOKUP(F720,'Master(Ko Xóa)'!$F$2:$H$158,3,0)</f>
        <v>Out</v>
      </c>
      <c r="H720" s="6" t="s">
        <v>1108</v>
      </c>
      <c r="I720" s="6" t="s">
        <v>1113</v>
      </c>
    </row>
    <row r="721" spans="1:9">
      <c r="A721" s="4">
        <v>1</v>
      </c>
      <c r="B721" s="5" t="s">
        <v>809</v>
      </c>
      <c r="C721" s="6">
        <v>1699</v>
      </c>
      <c r="D721" s="7">
        <v>20</v>
      </c>
      <c r="E721">
        <v>1.2800000000000001E-2</v>
      </c>
      <c r="F721" s="1">
        <v>201</v>
      </c>
      <c r="G721" s="1" t="str">
        <f>VLOOKUP(F721,'Master(Ko Xóa)'!$F$2:$H$158,3,0)</f>
        <v>Out</v>
      </c>
      <c r="H721" s="6" t="s">
        <v>1108</v>
      </c>
      <c r="I721" s="6" t="s">
        <v>1113</v>
      </c>
    </row>
    <row r="722" spans="1:9">
      <c r="A722" s="4">
        <v>1</v>
      </c>
      <c r="B722" s="5" t="s">
        <v>810</v>
      </c>
      <c r="C722" s="6">
        <v>1699</v>
      </c>
      <c r="D722" s="7">
        <v>20</v>
      </c>
      <c r="E722">
        <v>2.5800000000000003E-2</v>
      </c>
      <c r="F722" s="1">
        <v>201</v>
      </c>
      <c r="G722" s="1" t="str">
        <f>VLOOKUP(F722,'Master(Ko Xóa)'!$F$2:$H$158,3,0)</f>
        <v>Out</v>
      </c>
      <c r="H722" s="6" t="s">
        <v>1108</v>
      </c>
      <c r="I722" s="6" t="s">
        <v>1113</v>
      </c>
    </row>
    <row r="723" spans="1:9">
      <c r="A723" s="4">
        <v>1</v>
      </c>
      <c r="B723" s="5" t="s">
        <v>811</v>
      </c>
      <c r="C723" s="6">
        <v>1699</v>
      </c>
      <c r="D723" s="7">
        <v>20</v>
      </c>
      <c r="E723">
        <v>1.2800000000000001E-2</v>
      </c>
      <c r="F723" s="1">
        <v>201</v>
      </c>
      <c r="G723" s="1" t="str">
        <f>VLOOKUP(F723,'Master(Ko Xóa)'!$F$2:$H$158,3,0)</f>
        <v>Out</v>
      </c>
      <c r="H723" s="6" t="s">
        <v>1108</v>
      </c>
      <c r="I723" s="6" t="s">
        <v>1113</v>
      </c>
    </row>
    <row r="724" spans="1:9">
      <c r="A724" s="4">
        <v>1</v>
      </c>
      <c r="B724" s="5" t="s">
        <v>812</v>
      </c>
      <c r="C724" s="6">
        <v>1699</v>
      </c>
      <c r="D724" s="7">
        <v>20</v>
      </c>
      <c r="E724">
        <v>1.2800000000000001E-2</v>
      </c>
      <c r="F724" s="1">
        <v>201</v>
      </c>
      <c r="G724" s="1" t="str">
        <f>VLOOKUP(F724,'Master(Ko Xóa)'!$F$2:$H$158,3,0)</f>
        <v>Out</v>
      </c>
      <c r="H724" s="6" t="s">
        <v>1108</v>
      </c>
      <c r="I724" s="6" t="s">
        <v>1113</v>
      </c>
    </row>
    <row r="725" spans="1:9">
      <c r="A725" s="4">
        <v>1</v>
      </c>
      <c r="B725" s="5" t="s">
        <v>813</v>
      </c>
      <c r="C725" s="6">
        <v>1699</v>
      </c>
      <c r="D725" s="7">
        <v>5</v>
      </c>
      <c r="E725">
        <v>0.63429999999999997</v>
      </c>
      <c r="F725" s="1">
        <v>201</v>
      </c>
      <c r="G725" s="1" t="str">
        <f>VLOOKUP(F725,'Master(Ko Xóa)'!$F$2:$H$158,3,0)</f>
        <v>Out</v>
      </c>
      <c r="H725" s="6" t="s">
        <v>1108</v>
      </c>
      <c r="I725" s="6" t="s">
        <v>1113</v>
      </c>
    </row>
    <row r="726" spans="1:9">
      <c r="A726" s="4">
        <v>1</v>
      </c>
      <c r="B726" s="5" t="s">
        <v>814</v>
      </c>
      <c r="C726" s="6">
        <v>1699</v>
      </c>
      <c r="D726" s="7">
        <v>20</v>
      </c>
      <c r="E726">
        <v>5.7199999999999994E-2</v>
      </c>
      <c r="F726" s="1">
        <v>201</v>
      </c>
      <c r="G726" s="1" t="str">
        <f>VLOOKUP(F726,'Master(Ko Xóa)'!$F$2:$H$158,3,0)</f>
        <v>Out</v>
      </c>
      <c r="H726" s="6" t="s">
        <v>1108</v>
      </c>
      <c r="I726" s="6" t="s">
        <v>1113</v>
      </c>
    </row>
    <row r="727" spans="1:9">
      <c r="A727" s="4">
        <v>1</v>
      </c>
      <c r="B727" s="5" t="s">
        <v>815</v>
      </c>
      <c r="C727" s="6">
        <v>1699</v>
      </c>
      <c r="D727" s="7">
        <v>20</v>
      </c>
      <c r="E727">
        <v>1.8600000000000002E-2</v>
      </c>
      <c r="F727" s="1">
        <v>201</v>
      </c>
      <c r="G727" s="1" t="str">
        <f>VLOOKUP(F727,'Master(Ko Xóa)'!$F$2:$H$158,3,0)</f>
        <v>Out</v>
      </c>
      <c r="H727" s="6" t="s">
        <v>1108</v>
      </c>
      <c r="I727" s="6" t="s">
        <v>1113</v>
      </c>
    </row>
    <row r="728" spans="1:9">
      <c r="A728" s="4">
        <v>1</v>
      </c>
      <c r="B728" s="5" t="s">
        <v>816</v>
      </c>
      <c r="C728" s="6">
        <v>1699</v>
      </c>
      <c r="D728" s="7">
        <v>20</v>
      </c>
      <c r="E728">
        <v>6.5799999999999997E-2</v>
      </c>
      <c r="F728" s="1">
        <v>201</v>
      </c>
      <c r="G728" s="1" t="str">
        <f>VLOOKUP(F728,'Master(Ko Xóa)'!$F$2:$H$158,3,0)</f>
        <v>Out</v>
      </c>
      <c r="H728" s="6" t="s">
        <v>1108</v>
      </c>
      <c r="I728" s="6" t="s">
        <v>1113</v>
      </c>
    </row>
    <row r="729" spans="1:9">
      <c r="A729" s="4">
        <v>1</v>
      </c>
      <c r="B729" s="5" t="s">
        <v>817</v>
      </c>
      <c r="C729" s="6">
        <v>1699</v>
      </c>
      <c r="D729" s="7">
        <v>20</v>
      </c>
      <c r="E729">
        <v>5.8600000000000006E-2</v>
      </c>
      <c r="F729" s="1">
        <v>201</v>
      </c>
      <c r="G729" s="1" t="str">
        <f>VLOOKUP(F729,'Master(Ko Xóa)'!$F$2:$H$158,3,0)</f>
        <v>Out</v>
      </c>
      <c r="H729" s="6" t="s">
        <v>1108</v>
      </c>
      <c r="I729" s="6" t="s">
        <v>1113</v>
      </c>
    </row>
    <row r="730" spans="1:9">
      <c r="A730" s="4">
        <v>1</v>
      </c>
      <c r="B730" s="5" t="s">
        <v>818</v>
      </c>
      <c r="C730" s="6">
        <v>1699</v>
      </c>
      <c r="D730" s="7">
        <v>1</v>
      </c>
      <c r="E730">
        <v>2.3800000000000002E-2</v>
      </c>
      <c r="F730" s="1">
        <v>201</v>
      </c>
      <c r="G730" s="1" t="str">
        <f>VLOOKUP(F730,'Master(Ko Xóa)'!$F$2:$H$158,3,0)</f>
        <v>Out</v>
      </c>
      <c r="H730" s="6" t="s">
        <v>1108</v>
      </c>
      <c r="I730" s="6" t="s">
        <v>1113</v>
      </c>
    </row>
    <row r="731" spans="1:9">
      <c r="A731" s="4">
        <v>1</v>
      </c>
      <c r="B731" s="5" t="s">
        <v>819</v>
      </c>
      <c r="C731" s="6">
        <v>1699</v>
      </c>
      <c r="D731" s="7">
        <v>1</v>
      </c>
      <c r="E731">
        <v>0.15978999999999999</v>
      </c>
      <c r="F731" s="1">
        <v>201</v>
      </c>
      <c r="G731" s="1" t="str">
        <f>VLOOKUP(F731,'Master(Ko Xóa)'!$F$2:$H$158,3,0)</f>
        <v>Out</v>
      </c>
      <c r="H731" s="6" t="s">
        <v>1108</v>
      </c>
      <c r="I731" s="6" t="s">
        <v>1113</v>
      </c>
    </row>
    <row r="732" spans="1:9">
      <c r="A732" s="4">
        <v>1</v>
      </c>
      <c r="B732" s="5" t="s">
        <v>820</v>
      </c>
      <c r="C732" s="6">
        <v>1699</v>
      </c>
      <c r="D732" s="7">
        <v>1</v>
      </c>
      <c r="E732">
        <v>0.13639999999999999</v>
      </c>
      <c r="F732" s="1">
        <v>201</v>
      </c>
      <c r="G732" s="1" t="str">
        <f>VLOOKUP(F732,'Master(Ko Xóa)'!$F$2:$H$158,3,0)</f>
        <v>Out</v>
      </c>
      <c r="H732" s="6" t="s">
        <v>1108</v>
      </c>
      <c r="I732" s="6" t="s">
        <v>1113</v>
      </c>
    </row>
    <row r="733" spans="1:9">
      <c r="A733" s="4">
        <v>1</v>
      </c>
      <c r="B733" s="5" t="s">
        <v>821</v>
      </c>
      <c r="C733" s="6">
        <v>1699</v>
      </c>
      <c r="D733" s="7">
        <v>1</v>
      </c>
      <c r="E733">
        <v>0.251</v>
      </c>
      <c r="F733" s="1">
        <v>201</v>
      </c>
      <c r="G733" s="1" t="str">
        <f>VLOOKUP(F733,'Master(Ko Xóa)'!$F$2:$H$158,3,0)</f>
        <v>Out</v>
      </c>
      <c r="H733" s="6" t="s">
        <v>1108</v>
      </c>
      <c r="I733" s="6" t="s">
        <v>1113</v>
      </c>
    </row>
    <row r="734" spans="1:9">
      <c r="A734" s="4">
        <v>1</v>
      </c>
      <c r="B734" s="5" t="s">
        <v>822</v>
      </c>
      <c r="C734" s="6">
        <v>1699</v>
      </c>
      <c r="D734" s="7">
        <v>1</v>
      </c>
      <c r="E734">
        <v>0.12887000000000001</v>
      </c>
      <c r="F734" s="1">
        <v>201</v>
      </c>
      <c r="G734" s="1" t="str">
        <f>VLOOKUP(F734,'Master(Ko Xóa)'!$F$2:$H$158,3,0)</f>
        <v>Out</v>
      </c>
      <c r="H734" s="6" t="s">
        <v>1108</v>
      </c>
      <c r="I734" s="6" t="s">
        <v>1113</v>
      </c>
    </row>
    <row r="735" spans="1:9">
      <c r="A735" s="4">
        <v>1</v>
      </c>
      <c r="B735" s="5" t="s">
        <v>823</v>
      </c>
      <c r="C735" s="6">
        <v>1699</v>
      </c>
      <c r="D735" s="7">
        <v>1</v>
      </c>
      <c r="E735">
        <v>0.10515000000000001</v>
      </c>
      <c r="F735" s="1">
        <v>201</v>
      </c>
      <c r="G735" s="1" t="str">
        <f>VLOOKUP(F735,'Master(Ko Xóa)'!$F$2:$H$158,3,0)</f>
        <v>Out</v>
      </c>
      <c r="H735" s="6" t="s">
        <v>1108</v>
      </c>
      <c r="I735" s="6" t="s">
        <v>1113</v>
      </c>
    </row>
    <row r="736" spans="1:9">
      <c r="A736" s="4">
        <v>1</v>
      </c>
      <c r="B736" s="5" t="s">
        <v>824</v>
      </c>
      <c r="C736" s="6">
        <v>1699</v>
      </c>
      <c r="D736" s="7">
        <v>5</v>
      </c>
      <c r="E736">
        <v>6.3200000000000006E-2</v>
      </c>
      <c r="F736" s="1">
        <v>201</v>
      </c>
      <c r="G736" s="1" t="str">
        <f>VLOOKUP(F736,'Master(Ko Xóa)'!$F$2:$H$158,3,0)</f>
        <v>Out</v>
      </c>
      <c r="H736" s="6" t="s">
        <v>1108</v>
      </c>
      <c r="I736" s="6" t="s">
        <v>1113</v>
      </c>
    </row>
    <row r="737" spans="1:9">
      <c r="A737" s="4">
        <v>1</v>
      </c>
      <c r="B737" s="5" t="s">
        <v>825</v>
      </c>
      <c r="C737" s="6">
        <v>1699</v>
      </c>
      <c r="D737" s="7">
        <v>20</v>
      </c>
      <c r="E737">
        <v>0.04</v>
      </c>
      <c r="F737" s="1">
        <v>201</v>
      </c>
      <c r="G737" s="1" t="str">
        <f>VLOOKUP(F737,'Master(Ko Xóa)'!$F$2:$H$158,3,0)</f>
        <v>Out</v>
      </c>
      <c r="H737" s="6" t="s">
        <v>1108</v>
      </c>
      <c r="I737" s="6" t="s">
        <v>1113</v>
      </c>
    </row>
    <row r="738" spans="1:9">
      <c r="A738" s="4">
        <v>1</v>
      </c>
      <c r="B738" s="5" t="s">
        <v>826</v>
      </c>
      <c r="C738" s="6">
        <v>1699</v>
      </c>
      <c r="D738" s="7">
        <v>20</v>
      </c>
      <c r="E738">
        <v>0.04</v>
      </c>
      <c r="F738" s="1">
        <v>201</v>
      </c>
      <c r="G738" s="1" t="str">
        <f>VLOOKUP(F738,'Master(Ko Xóa)'!$F$2:$H$158,3,0)</f>
        <v>Out</v>
      </c>
      <c r="H738" s="6" t="s">
        <v>1108</v>
      </c>
      <c r="I738" s="6" t="s">
        <v>1113</v>
      </c>
    </row>
    <row r="739" spans="1:9">
      <c r="A739" s="4">
        <v>1</v>
      </c>
      <c r="B739" s="5" t="s">
        <v>827</v>
      </c>
      <c r="C739" s="6">
        <v>1699</v>
      </c>
      <c r="D739" s="7">
        <v>20</v>
      </c>
      <c r="E739">
        <v>0.04</v>
      </c>
      <c r="F739" s="1">
        <v>201</v>
      </c>
      <c r="G739" s="1" t="str">
        <f>VLOOKUP(F739,'Master(Ko Xóa)'!$F$2:$H$158,3,0)</f>
        <v>Out</v>
      </c>
      <c r="H739" s="6" t="s">
        <v>1108</v>
      </c>
      <c r="I739" s="6" t="s">
        <v>1113</v>
      </c>
    </row>
    <row r="740" spans="1:9">
      <c r="A740" s="4">
        <v>1</v>
      </c>
      <c r="B740" s="5" t="s">
        <v>828</v>
      </c>
      <c r="C740" s="6">
        <v>1699</v>
      </c>
      <c r="D740" s="7">
        <v>20</v>
      </c>
      <c r="E740">
        <v>0.19140000000000001</v>
      </c>
      <c r="F740" s="1">
        <v>201</v>
      </c>
      <c r="G740" s="1" t="str">
        <f>VLOOKUP(F740,'Master(Ko Xóa)'!$F$2:$H$158,3,0)</f>
        <v>Out</v>
      </c>
      <c r="H740" s="6" t="s">
        <v>1108</v>
      </c>
      <c r="I740" s="6" t="s">
        <v>1113</v>
      </c>
    </row>
    <row r="741" spans="1:9">
      <c r="A741" s="4">
        <v>1</v>
      </c>
      <c r="B741" s="5" t="s">
        <v>829</v>
      </c>
      <c r="C741" s="6">
        <v>1699</v>
      </c>
      <c r="D741" s="7">
        <v>20</v>
      </c>
      <c r="E741">
        <v>3.2799999999999996E-2</v>
      </c>
      <c r="F741" s="1">
        <v>201</v>
      </c>
      <c r="G741" s="1" t="str">
        <f>VLOOKUP(F741,'Master(Ko Xóa)'!$F$2:$H$158,3,0)</f>
        <v>Out</v>
      </c>
      <c r="H741" s="6" t="s">
        <v>1108</v>
      </c>
      <c r="I741" s="6" t="s">
        <v>1113</v>
      </c>
    </row>
    <row r="742" spans="1:9">
      <c r="A742" s="4">
        <v>1</v>
      </c>
      <c r="B742" s="5" t="s">
        <v>830</v>
      </c>
      <c r="C742" s="6">
        <v>1699</v>
      </c>
      <c r="D742" s="7">
        <v>20</v>
      </c>
      <c r="E742">
        <v>0.2258</v>
      </c>
      <c r="F742" s="1">
        <v>201</v>
      </c>
      <c r="G742" s="1" t="str">
        <f>VLOOKUP(F742,'Master(Ko Xóa)'!$F$2:$H$158,3,0)</f>
        <v>Out</v>
      </c>
      <c r="H742" s="6" t="s">
        <v>1108</v>
      </c>
      <c r="I742" s="6" t="s">
        <v>1113</v>
      </c>
    </row>
    <row r="743" spans="1:9">
      <c r="A743" s="4">
        <v>1</v>
      </c>
      <c r="B743" s="5" t="s">
        <v>831</v>
      </c>
      <c r="C743" s="6">
        <v>1699</v>
      </c>
      <c r="D743" s="7">
        <v>5</v>
      </c>
      <c r="E743">
        <v>7.6050000000000006E-2</v>
      </c>
      <c r="F743" s="1">
        <v>201</v>
      </c>
      <c r="G743" s="1" t="str">
        <f>VLOOKUP(F743,'Master(Ko Xóa)'!$F$2:$H$158,3,0)</f>
        <v>Out</v>
      </c>
      <c r="H743" s="6" t="s">
        <v>1108</v>
      </c>
      <c r="I743" s="6" t="s">
        <v>1113</v>
      </c>
    </row>
    <row r="744" spans="1:9">
      <c r="A744" s="4">
        <v>1</v>
      </c>
      <c r="B744" s="5" t="s">
        <v>832</v>
      </c>
      <c r="C744" s="6">
        <v>1699</v>
      </c>
      <c r="D744" s="7">
        <v>5</v>
      </c>
      <c r="E744">
        <v>0.68145</v>
      </c>
      <c r="F744" s="1">
        <v>201</v>
      </c>
      <c r="G744" s="1" t="str">
        <f>VLOOKUP(F744,'Master(Ko Xóa)'!$F$2:$H$158,3,0)</f>
        <v>Out</v>
      </c>
      <c r="H744" s="6" t="s">
        <v>1108</v>
      </c>
      <c r="I744" s="6" t="s">
        <v>1113</v>
      </c>
    </row>
    <row r="745" spans="1:9">
      <c r="A745" s="4">
        <v>1</v>
      </c>
      <c r="B745" s="5" t="s">
        <v>833</v>
      </c>
      <c r="C745" s="6">
        <v>1699</v>
      </c>
      <c r="D745" s="7">
        <v>20</v>
      </c>
      <c r="E745">
        <v>0.04</v>
      </c>
      <c r="F745" s="1">
        <v>201</v>
      </c>
      <c r="G745" s="1" t="str">
        <f>VLOOKUP(F745,'Master(Ko Xóa)'!$F$2:$H$158,3,0)</f>
        <v>Out</v>
      </c>
      <c r="H745" s="6" t="s">
        <v>1108</v>
      </c>
      <c r="I745" s="6" t="s">
        <v>1113</v>
      </c>
    </row>
    <row r="746" spans="1:9">
      <c r="A746" s="4">
        <v>1</v>
      </c>
      <c r="B746" s="5" t="s">
        <v>834</v>
      </c>
      <c r="C746" s="6">
        <v>1699</v>
      </c>
      <c r="D746" s="7">
        <v>10</v>
      </c>
      <c r="E746">
        <v>0.12640000000000001</v>
      </c>
      <c r="F746" s="1">
        <v>201</v>
      </c>
      <c r="G746" s="1" t="str">
        <f>VLOOKUP(F746,'Master(Ko Xóa)'!$F$2:$H$158,3,0)</f>
        <v>Out</v>
      </c>
      <c r="H746" s="6" t="s">
        <v>1108</v>
      </c>
      <c r="I746" s="6" t="s">
        <v>1113</v>
      </c>
    </row>
    <row r="747" spans="1:9">
      <c r="A747" s="4">
        <v>1</v>
      </c>
      <c r="B747" s="5" t="s">
        <v>835</v>
      </c>
      <c r="C747" s="6">
        <v>1699</v>
      </c>
      <c r="D747" s="7">
        <v>20</v>
      </c>
      <c r="E747">
        <v>0.04</v>
      </c>
      <c r="F747" s="1">
        <v>201</v>
      </c>
      <c r="G747" s="1" t="str">
        <f>VLOOKUP(F747,'Master(Ko Xóa)'!$F$2:$H$158,3,0)</f>
        <v>Out</v>
      </c>
      <c r="H747" s="6" t="s">
        <v>1108</v>
      </c>
      <c r="I747" s="6" t="s">
        <v>1113</v>
      </c>
    </row>
    <row r="748" spans="1:9">
      <c r="A748" s="4">
        <v>1</v>
      </c>
      <c r="B748" s="5" t="s">
        <v>836</v>
      </c>
      <c r="C748" s="6">
        <v>1699</v>
      </c>
      <c r="D748" s="7">
        <v>20</v>
      </c>
      <c r="E748">
        <v>3.2799999999999996E-2</v>
      </c>
      <c r="F748" s="1">
        <v>201</v>
      </c>
      <c r="G748" s="1" t="str">
        <f>VLOOKUP(F748,'Master(Ko Xóa)'!$F$2:$H$158,3,0)</f>
        <v>Out</v>
      </c>
      <c r="H748" s="6" t="s">
        <v>1108</v>
      </c>
      <c r="I748" s="6" t="s">
        <v>1113</v>
      </c>
    </row>
    <row r="749" spans="1:9">
      <c r="A749" s="4">
        <v>1</v>
      </c>
      <c r="B749" s="5" t="s">
        <v>837</v>
      </c>
      <c r="C749" s="6">
        <v>1699</v>
      </c>
      <c r="D749" s="7">
        <v>20</v>
      </c>
      <c r="E749">
        <v>0.04</v>
      </c>
      <c r="F749" s="1">
        <v>201</v>
      </c>
      <c r="G749" s="1" t="str">
        <f>VLOOKUP(F749,'Master(Ko Xóa)'!$F$2:$H$158,3,0)</f>
        <v>Out</v>
      </c>
      <c r="H749" s="6" t="s">
        <v>1108</v>
      </c>
      <c r="I749" s="6" t="s">
        <v>1113</v>
      </c>
    </row>
    <row r="750" spans="1:9">
      <c r="A750" s="4">
        <v>1</v>
      </c>
      <c r="B750" s="5" t="s">
        <v>838</v>
      </c>
      <c r="C750" s="6">
        <v>1699</v>
      </c>
      <c r="D750" s="7">
        <v>5</v>
      </c>
      <c r="E750">
        <v>0.1018</v>
      </c>
      <c r="F750" s="1">
        <v>201</v>
      </c>
      <c r="G750" s="1" t="str">
        <f>VLOOKUP(F750,'Master(Ko Xóa)'!$F$2:$H$158,3,0)</f>
        <v>Out</v>
      </c>
      <c r="H750" s="6" t="s">
        <v>1108</v>
      </c>
      <c r="I750" s="6" t="s">
        <v>1113</v>
      </c>
    </row>
    <row r="751" spans="1:9">
      <c r="A751" s="4">
        <v>1</v>
      </c>
      <c r="B751" s="5" t="s">
        <v>839</v>
      </c>
      <c r="C751" s="6">
        <v>1699</v>
      </c>
      <c r="D751" s="7">
        <v>20</v>
      </c>
      <c r="E751">
        <v>0.04</v>
      </c>
      <c r="F751" s="1">
        <v>201</v>
      </c>
      <c r="G751" s="1" t="str">
        <f>VLOOKUP(F751,'Master(Ko Xóa)'!$F$2:$H$158,3,0)</f>
        <v>Out</v>
      </c>
      <c r="H751" s="6" t="s">
        <v>1108</v>
      </c>
      <c r="I751" s="6" t="s">
        <v>1113</v>
      </c>
    </row>
    <row r="752" spans="1:9">
      <c r="A752" s="4">
        <v>1</v>
      </c>
      <c r="B752" s="5" t="s">
        <v>840</v>
      </c>
      <c r="C752" s="6">
        <v>1699</v>
      </c>
      <c r="D752" s="7">
        <v>10</v>
      </c>
      <c r="E752">
        <v>0.12640000000000001</v>
      </c>
      <c r="F752" s="1">
        <v>201</v>
      </c>
      <c r="G752" s="1" t="str">
        <f>VLOOKUP(F752,'Master(Ko Xóa)'!$F$2:$H$158,3,0)</f>
        <v>Out</v>
      </c>
      <c r="H752" s="6" t="s">
        <v>1108</v>
      </c>
      <c r="I752" s="6" t="s">
        <v>1113</v>
      </c>
    </row>
    <row r="753" spans="1:9">
      <c r="A753" s="4">
        <v>1</v>
      </c>
      <c r="B753" s="5" t="s">
        <v>841</v>
      </c>
      <c r="C753" s="6">
        <v>1699</v>
      </c>
      <c r="D753" s="7">
        <v>20</v>
      </c>
      <c r="E753">
        <v>0.04</v>
      </c>
      <c r="F753" s="1">
        <v>201</v>
      </c>
      <c r="G753" s="1" t="str">
        <f>VLOOKUP(F753,'Master(Ko Xóa)'!$F$2:$H$158,3,0)</f>
        <v>Out</v>
      </c>
      <c r="H753" s="6" t="s">
        <v>1108</v>
      </c>
      <c r="I753" s="6" t="s">
        <v>1113</v>
      </c>
    </row>
    <row r="754" spans="1:9">
      <c r="A754" s="4">
        <v>1</v>
      </c>
      <c r="B754" s="5" t="s">
        <v>842</v>
      </c>
      <c r="C754" s="6">
        <v>1699</v>
      </c>
      <c r="D754" s="7">
        <v>1</v>
      </c>
      <c r="E754">
        <v>3.918E-2</v>
      </c>
      <c r="F754" s="1">
        <v>201</v>
      </c>
      <c r="G754" s="1" t="str">
        <f>VLOOKUP(F754,'Master(Ko Xóa)'!$F$2:$H$158,3,0)</f>
        <v>Out</v>
      </c>
      <c r="H754" s="6" t="s">
        <v>1108</v>
      </c>
      <c r="I754" s="6" t="s">
        <v>1113</v>
      </c>
    </row>
    <row r="755" spans="1:9">
      <c r="A755" s="4">
        <v>1</v>
      </c>
      <c r="B755" s="5" t="s">
        <v>843</v>
      </c>
      <c r="C755" s="6">
        <v>1699</v>
      </c>
      <c r="D755" s="7">
        <v>2</v>
      </c>
      <c r="E755">
        <v>8.1200000000000008E-2</v>
      </c>
      <c r="F755" s="1">
        <v>201</v>
      </c>
      <c r="G755" s="1" t="str">
        <f>VLOOKUP(F755,'Master(Ko Xóa)'!$F$2:$H$158,3,0)</f>
        <v>Out</v>
      </c>
      <c r="H755" s="6" t="s">
        <v>1108</v>
      </c>
      <c r="I755" s="6" t="s">
        <v>1113</v>
      </c>
    </row>
    <row r="756" spans="1:9">
      <c r="A756" s="4">
        <v>1</v>
      </c>
      <c r="B756" s="5" t="s">
        <v>844</v>
      </c>
      <c r="C756" s="6">
        <v>1699</v>
      </c>
      <c r="D756" s="7">
        <v>2</v>
      </c>
      <c r="E756">
        <v>0.13819999999999999</v>
      </c>
      <c r="F756" s="1">
        <v>201</v>
      </c>
      <c r="G756" s="1" t="str">
        <f>VLOOKUP(F756,'Master(Ko Xóa)'!$F$2:$H$158,3,0)</f>
        <v>Out</v>
      </c>
      <c r="H756" s="6" t="s">
        <v>1108</v>
      </c>
      <c r="I756" s="6" t="s">
        <v>1113</v>
      </c>
    </row>
    <row r="757" spans="1:9">
      <c r="A757" s="4">
        <v>1</v>
      </c>
      <c r="B757" s="5" t="s">
        <v>845</v>
      </c>
      <c r="C757" s="6">
        <v>1699</v>
      </c>
      <c r="D757" s="7">
        <v>2</v>
      </c>
      <c r="E757">
        <v>7.1779999999999997E-2</v>
      </c>
      <c r="F757" s="1">
        <v>201</v>
      </c>
      <c r="G757" s="1" t="str">
        <f>VLOOKUP(F757,'Master(Ko Xóa)'!$F$2:$H$158,3,0)</f>
        <v>Out</v>
      </c>
      <c r="H757" s="6" t="s">
        <v>1108</v>
      </c>
      <c r="I757" s="6" t="s">
        <v>1113</v>
      </c>
    </row>
    <row r="758" spans="1:9">
      <c r="A758" s="4">
        <v>1</v>
      </c>
      <c r="B758" s="5" t="s">
        <v>846</v>
      </c>
      <c r="C758" s="6">
        <v>1699</v>
      </c>
      <c r="D758" s="7">
        <v>5</v>
      </c>
      <c r="E758">
        <v>0.17215000000000003</v>
      </c>
      <c r="F758" s="1">
        <v>201</v>
      </c>
      <c r="G758" s="1" t="str">
        <f>VLOOKUP(F758,'Master(Ko Xóa)'!$F$2:$H$158,3,0)</f>
        <v>Out</v>
      </c>
      <c r="H758" s="6" t="s">
        <v>1108</v>
      </c>
      <c r="I758" s="6" t="s">
        <v>1113</v>
      </c>
    </row>
    <row r="759" spans="1:9">
      <c r="A759" s="4">
        <v>1</v>
      </c>
      <c r="B759" s="5" t="s">
        <v>847</v>
      </c>
      <c r="C759" s="6">
        <v>1699</v>
      </c>
      <c r="D759" s="7">
        <v>5</v>
      </c>
      <c r="E759">
        <v>0.27729999999999999</v>
      </c>
      <c r="F759" s="1">
        <v>201</v>
      </c>
      <c r="G759" s="1" t="str">
        <f>VLOOKUP(F759,'Master(Ko Xóa)'!$F$2:$H$158,3,0)</f>
        <v>Out</v>
      </c>
      <c r="H759" s="6" t="s">
        <v>1108</v>
      </c>
      <c r="I759" s="6" t="s">
        <v>1113</v>
      </c>
    </row>
    <row r="760" spans="1:9">
      <c r="A760" s="4">
        <v>1</v>
      </c>
      <c r="B760" s="5" t="s">
        <v>848</v>
      </c>
      <c r="C760" s="6">
        <v>1699</v>
      </c>
      <c r="D760" s="7">
        <v>5</v>
      </c>
      <c r="E760">
        <v>0.26034999999999997</v>
      </c>
      <c r="F760" s="1">
        <v>201</v>
      </c>
      <c r="G760" s="1" t="str">
        <f>VLOOKUP(F760,'Master(Ko Xóa)'!$F$2:$H$158,3,0)</f>
        <v>Out</v>
      </c>
      <c r="H760" s="6" t="s">
        <v>1108</v>
      </c>
      <c r="I760" s="6" t="s">
        <v>1113</v>
      </c>
    </row>
    <row r="761" spans="1:9">
      <c r="A761" s="4">
        <v>1</v>
      </c>
      <c r="B761" s="5" t="s">
        <v>849</v>
      </c>
      <c r="C761" s="6">
        <v>1699</v>
      </c>
      <c r="D761" s="7">
        <v>5</v>
      </c>
      <c r="E761">
        <v>0.42344999999999999</v>
      </c>
      <c r="F761" s="1">
        <v>201</v>
      </c>
      <c r="G761" s="1" t="str">
        <f>VLOOKUP(F761,'Master(Ko Xóa)'!$F$2:$H$158,3,0)</f>
        <v>Out</v>
      </c>
      <c r="H761" s="6" t="s">
        <v>1108</v>
      </c>
      <c r="I761" s="6" t="s">
        <v>1113</v>
      </c>
    </row>
    <row r="762" spans="1:9">
      <c r="A762" s="4">
        <v>1</v>
      </c>
      <c r="B762" s="5" t="s">
        <v>850</v>
      </c>
      <c r="C762" s="6">
        <v>1699</v>
      </c>
      <c r="D762" s="7">
        <v>5</v>
      </c>
      <c r="E762">
        <v>0.32214999999999999</v>
      </c>
      <c r="F762" s="1">
        <v>201</v>
      </c>
      <c r="G762" s="1" t="str">
        <f>VLOOKUP(F762,'Master(Ko Xóa)'!$F$2:$H$158,3,0)</f>
        <v>Out</v>
      </c>
      <c r="H762" s="6" t="s">
        <v>1108</v>
      </c>
      <c r="I762" s="6" t="s">
        <v>1113</v>
      </c>
    </row>
    <row r="763" spans="1:9">
      <c r="A763" s="4">
        <v>1</v>
      </c>
      <c r="B763" s="5" t="s">
        <v>851</v>
      </c>
      <c r="C763" s="6">
        <v>1699</v>
      </c>
      <c r="D763" s="7">
        <v>5</v>
      </c>
      <c r="E763">
        <v>1.0309499999999998</v>
      </c>
      <c r="F763" s="1">
        <v>201</v>
      </c>
      <c r="G763" s="1" t="str">
        <f>VLOOKUP(F763,'Master(Ko Xóa)'!$F$2:$H$158,3,0)</f>
        <v>Out</v>
      </c>
      <c r="H763" s="6" t="s">
        <v>1108</v>
      </c>
      <c r="I763" s="6" t="s">
        <v>1113</v>
      </c>
    </row>
    <row r="764" spans="1:9">
      <c r="A764" s="4">
        <v>1</v>
      </c>
      <c r="B764" s="5" t="s">
        <v>492</v>
      </c>
      <c r="C764" s="6">
        <v>1699</v>
      </c>
      <c r="D764" s="7">
        <v>5</v>
      </c>
      <c r="E764">
        <v>0.25819999999999999</v>
      </c>
      <c r="F764" s="1">
        <v>201</v>
      </c>
      <c r="G764" s="1" t="str">
        <f>VLOOKUP(F764,'Master(Ko Xóa)'!$F$2:$H$158,3,0)</f>
        <v>Out</v>
      </c>
      <c r="H764" s="6" t="s">
        <v>1108</v>
      </c>
      <c r="I764" s="6" t="s">
        <v>1113</v>
      </c>
    </row>
    <row r="765" spans="1:9">
      <c r="A765" s="4">
        <v>1</v>
      </c>
      <c r="B765" s="5" t="s">
        <v>852</v>
      </c>
      <c r="C765" s="6">
        <v>1699</v>
      </c>
      <c r="D765" s="7">
        <v>20</v>
      </c>
      <c r="E765">
        <v>0.26140000000000002</v>
      </c>
      <c r="F765" s="1">
        <v>201</v>
      </c>
      <c r="G765" s="1" t="str">
        <f>VLOOKUP(F765,'Master(Ko Xóa)'!$F$2:$H$158,3,0)</f>
        <v>Out</v>
      </c>
      <c r="H765" s="6" t="s">
        <v>1108</v>
      </c>
      <c r="I765" s="6" t="s">
        <v>1113</v>
      </c>
    </row>
    <row r="766" spans="1:9">
      <c r="A766" s="4">
        <v>1</v>
      </c>
      <c r="B766" s="5" t="s">
        <v>853</v>
      </c>
      <c r="C766" s="6">
        <v>1699</v>
      </c>
      <c r="D766" s="7">
        <v>20</v>
      </c>
      <c r="E766">
        <v>0.13</v>
      </c>
      <c r="F766" s="1">
        <v>201</v>
      </c>
      <c r="G766" s="1" t="str">
        <f>VLOOKUP(F766,'Master(Ko Xóa)'!$F$2:$H$158,3,0)</f>
        <v>Out</v>
      </c>
      <c r="H766" s="6" t="s">
        <v>1108</v>
      </c>
      <c r="I766" s="6" t="s">
        <v>1113</v>
      </c>
    </row>
    <row r="767" spans="1:9">
      <c r="A767" s="4">
        <v>1</v>
      </c>
      <c r="B767" s="5" t="s">
        <v>854</v>
      </c>
      <c r="C767" s="6">
        <v>1699</v>
      </c>
      <c r="D767" s="7">
        <v>20</v>
      </c>
      <c r="E767">
        <v>2.2800000000000001E-2</v>
      </c>
      <c r="F767" s="1">
        <v>201</v>
      </c>
      <c r="G767" s="1" t="str">
        <f>VLOOKUP(F767,'Master(Ko Xóa)'!$F$2:$H$158,3,0)</f>
        <v>Out</v>
      </c>
      <c r="H767" s="6" t="s">
        <v>1108</v>
      </c>
      <c r="I767" s="6" t="s">
        <v>1113</v>
      </c>
    </row>
    <row r="768" spans="1:9">
      <c r="A768" s="4">
        <v>1</v>
      </c>
      <c r="B768" s="5" t="s">
        <v>855</v>
      </c>
      <c r="C768" s="6">
        <v>1699</v>
      </c>
      <c r="D768" s="7">
        <v>20</v>
      </c>
      <c r="E768">
        <v>0.11720000000000001</v>
      </c>
      <c r="F768" s="1">
        <v>201</v>
      </c>
      <c r="G768" s="1" t="str">
        <f>VLOOKUP(F768,'Master(Ko Xóa)'!$F$2:$H$158,3,0)</f>
        <v>Out</v>
      </c>
      <c r="H768" s="6" t="s">
        <v>1108</v>
      </c>
      <c r="I768" s="6" t="s">
        <v>1113</v>
      </c>
    </row>
    <row r="769" spans="1:9">
      <c r="A769" s="4">
        <v>1</v>
      </c>
      <c r="B769" s="5" t="s">
        <v>856</v>
      </c>
      <c r="C769" s="6">
        <v>1699</v>
      </c>
      <c r="D769" s="7">
        <v>2</v>
      </c>
      <c r="E769">
        <v>9.2260000000000009E-2</v>
      </c>
      <c r="F769" s="1">
        <v>201</v>
      </c>
      <c r="G769" s="1" t="str">
        <f>VLOOKUP(F769,'Master(Ko Xóa)'!$F$2:$H$158,3,0)</f>
        <v>Out</v>
      </c>
      <c r="H769" s="6" t="s">
        <v>1108</v>
      </c>
      <c r="I769" s="6" t="s">
        <v>1113</v>
      </c>
    </row>
    <row r="770" spans="1:9">
      <c r="A770" s="4">
        <v>1</v>
      </c>
      <c r="B770" s="5" t="s">
        <v>857</v>
      </c>
      <c r="C770" s="6">
        <v>1699</v>
      </c>
      <c r="D770" s="7">
        <v>1</v>
      </c>
      <c r="E770">
        <v>5.74E-2</v>
      </c>
      <c r="F770" s="1">
        <v>201</v>
      </c>
      <c r="G770" s="1" t="str">
        <f>VLOOKUP(F770,'Master(Ko Xóa)'!$F$2:$H$158,3,0)</f>
        <v>Out</v>
      </c>
      <c r="H770" s="6" t="s">
        <v>1108</v>
      </c>
      <c r="I770" s="6" t="s">
        <v>1113</v>
      </c>
    </row>
    <row r="771" spans="1:9">
      <c r="A771" s="4">
        <v>1</v>
      </c>
      <c r="B771" s="5" t="s">
        <v>858</v>
      </c>
      <c r="C771" s="6">
        <v>1699</v>
      </c>
      <c r="D771" s="7">
        <v>1</v>
      </c>
      <c r="E771">
        <v>7.0000000000000007E-2</v>
      </c>
      <c r="F771" s="1">
        <v>201</v>
      </c>
      <c r="G771" s="1" t="str">
        <f>VLOOKUP(F771,'Master(Ko Xóa)'!$F$2:$H$158,3,0)</f>
        <v>Out</v>
      </c>
      <c r="H771" s="6" t="s">
        <v>1108</v>
      </c>
      <c r="I771" s="6" t="s">
        <v>1113</v>
      </c>
    </row>
    <row r="772" spans="1:9">
      <c r="A772" s="4">
        <v>1</v>
      </c>
      <c r="B772" s="5" t="s">
        <v>859</v>
      </c>
      <c r="C772" s="6">
        <v>1699</v>
      </c>
      <c r="D772" s="7">
        <v>2</v>
      </c>
      <c r="E772">
        <v>9.6799999999999997E-2</v>
      </c>
      <c r="F772" s="1">
        <v>201</v>
      </c>
      <c r="G772" s="1" t="str">
        <f>VLOOKUP(F772,'Master(Ko Xóa)'!$F$2:$H$158,3,0)</f>
        <v>Out</v>
      </c>
      <c r="H772" s="6" t="s">
        <v>1108</v>
      </c>
      <c r="I772" s="6" t="s">
        <v>1113</v>
      </c>
    </row>
    <row r="773" spans="1:9">
      <c r="A773" s="4">
        <v>1</v>
      </c>
      <c r="B773" s="5" t="s">
        <v>860</v>
      </c>
      <c r="C773" s="6">
        <v>1699</v>
      </c>
      <c r="D773" s="7">
        <v>1</v>
      </c>
      <c r="E773">
        <v>4.4200000000000003E-2</v>
      </c>
      <c r="F773" s="1">
        <v>201</v>
      </c>
      <c r="G773" s="1" t="str">
        <f>VLOOKUP(F773,'Master(Ko Xóa)'!$F$2:$H$158,3,0)</f>
        <v>Out</v>
      </c>
      <c r="H773" s="6" t="s">
        <v>1108</v>
      </c>
      <c r="I773" s="6" t="s">
        <v>1113</v>
      </c>
    </row>
    <row r="774" spans="1:9">
      <c r="A774" s="4">
        <v>1</v>
      </c>
      <c r="B774" s="5" t="s">
        <v>861</v>
      </c>
      <c r="C774" s="6">
        <v>1699</v>
      </c>
      <c r="D774" s="7">
        <v>1</v>
      </c>
      <c r="E774">
        <v>0.27133999999999997</v>
      </c>
      <c r="F774" s="1">
        <v>201</v>
      </c>
      <c r="G774" s="1" t="str">
        <f>VLOOKUP(F774,'Master(Ko Xóa)'!$F$2:$H$158,3,0)</f>
        <v>Out</v>
      </c>
      <c r="H774" s="6" t="s">
        <v>1108</v>
      </c>
      <c r="I774" s="6" t="s">
        <v>1113</v>
      </c>
    </row>
    <row r="775" spans="1:9">
      <c r="A775" s="4">
        <v>1</v>
      </c>
      <c r="B775" s="5" t="s">
        <v>862</v>
      </c>
      <c r="C775" s="6">
        <v>1699</v>
      </c>
      <c r="D775" s="7">
        <v>20</v>
      </c>
      <c r="E775">
        <v>0.11439999999999999</v>
      </c>
      <c r="F775" s="1">
        <v>201</v>
      </c>
      <c r="G775" s="1" t="str">
        <f>VLOOKUP(F775,'Master(Ko Xóa)'!$F$2:$H$158,3,0)</f>
        <v>Out</v>
      </c>
      <c r="H775" s="6" t="s">
        <v>1108</v>
      </c>
      <c r="I775" s="6" t="s">
        <v>1113</v>
      </c>
    </row>
    <row r="776" spans="1:9">
      <c r="A776" s="4">
        <v>1</v>
      </c>
      <c r="B776" s="5" t="s">
        <v>863</v>
      </c>
      <c r="C776" s="6">
        <v>1699</v>
      </c>
      <c r="D776" s="7">
        <v>20</v>
      </c>
      <c r="E776">
        <v>7.6200000000000004E-2</v>
      </c>
      <c r="F776" s="1">
        <v>201</v>
      </c>
      <c r="G776" s="1" t="str">
        <f>VLOOKUP(F776,'Master(Ko Xóa)'!$F$2:$H$158,3,0)</f>
        <v>Out</v>
      </c>
      <c r="H776" s="6" t="s">
        <v>1108</v>
      </c>
      <c r="I776" s="6" t="s">
        <v>1113</v>
      </c>
    </row>
    <row r="777" spans="1:9">
      <c r="A777" s="4">
        <v>1</v>
      </c>
      <c r="B777" s="5" t="s">
        <v>864</v>
      </c>
      <c r="C777" s="6">
        <v>1699</v>
      </c>
      <c r="D777" s="7">
        <v>1</v>
      </c>
      <c r="E777">
        <v>0.31619999999999998</v>
      </c>
      <c r="F777" s="1">
        <v>201</v>
      </c>
      <c r="G777" s="1" t="str">
        <f>VLOOKUP(F777,'Master(Ko Xóa)'!$F$2:$H$158,3,0)</f>
        <v>Out</v>
      </c>
      <c r="H777" s="6" t="s">
        <v>1108</v>
      </c>
      <c r="I777" s="6" t="s">
        <v>1113</v>
      </c>
    </row>
    <row r="778" spans="1:9">
      <c r="A778" s="4">
        <v>1</v>
      </c>
      <c r="B778" s="5" t="s">
        <v>865</v>
      </c>
      <c r="C778" s="6">
        <v>1699</v>
      </c>
      <c r="D778" s="7">
        <v>1</v>
      </c>
      <c r="E778">
        <v>0.24536000000000002</v>
      </c>
      <c r="F778" s="1">
        <v>201</v>
      </c>
      <c r="G778" s="1" t="str">
        <f>VLOOKUP(F778,'Master(Ko Xóa)'!$F$2:$H$158,3,0)</f>
        <v>Out</v>
      </c>
      <c r="H778" s="6" t="s">
        <v>1108</v>
      </c>
      <c r="I778" s="6" t="s">
        <v>1113</v>
      </c>
    </row>
    <row r="779" spans="1:9">
      <c r="A779" s="4">
        <v>1</v>
      </c>
      <c r="B779" s="5" t="s">
        <v>866</v>
      </c>
      <c r="C779" s="6">
        <v>1699</v>
      </c>
      <c r="D779" s="7">
        <v>2</v>
      </c>
      <c r="E779">
        <v>0.29919999999999997</v>
      </c>
      <c r="F779" s="1">
        <v>201</v>
      </c>
      <c r="G779" s="1" t="str">
        <f>VLOOKUP(F779,'Master(Ko Xóa)'!$F$2:$H$158,3,0)</f>
        <v>Out</v>
      </c>
      <c r="H779" s="6" t="s">
        <v>1108</v>
      </c>
      <c r="I779" s="6" t="s">
        <v>1113</v>
      </c>
    </row>
    <row r="780" spans="1:9">
      <c r="A780" s="4">
        <v>1</v>
      </c>
      <c r="B780" s="5" t="s">
        <v>867</v>
      </c>
      <c r="C780" s="6">
        <v>1699</v>
      </c>
      <c r="D780" s="7">
        <v>10</v>
      </c>
      <c r="E780">
        <v>0.59</v>
      </c>
      <c r="F780" s="1">
        <v>201</v>
      </c>
      <c r="G780" s="1" t="str">
        <f>VLOOKUP(F780,'Master(Ko Xóa)'!$F$2:$H$158,3,0)</f>
        <v>Out</v>
      </c>
      <c r="H780" s="6" t="s">
        <v>1108</v>
      </c>
      <c r="I780" s="6" t="s">
        <v>1113</v>
      </c>
    </row>
    <row r="781" spans="1:9">
      <c r="A781" s="4">
        <v>1</v>
      </c>
      <c r="B781" s="5" t="s">
        <v>868</v>
      </c>
      <c r="C781" s="6">
        <v>1699</v>
      </c>
      <c r="D781" s="7">
        <v>23</v>
      </c>
      <c r="E781">
        <v>1.1040000000000001</v>
      </c>
      <c r="F781" s="1">
        <v>201</v>
      </c>
      <c r="G781" s="1" t="str">
        <f>VLOOKUP(F781,'Master(Ko Xóa)'!$F$2:$H$158,3,0)</f>
        <v>Out</v>
      </c>
      <c r="H781" s="6" t="s">
        <v>1108</v>
      </c>
      <c r="I781" s="6" t="s">
        <v>1113</v>
      </c>
    </row>
    <row r="782" spans="1:9">
      <c r="A782" s="4">
        <v>1</v>
      </c>
      <c r="B782" s="5" t="s">
        <v>869</v>
      </c>
      <c r="C782" s="6">
        <v>1699</v>
      </c>
      <c r="D782" s="7">
        <v>1</v>
      </c>
      <c r="E782">
        <v>6.7299999999999999E-2</v>
      </c>
      <c r="F782" s="1">
        <v>201</v>
      </c>
      <c r="G782" s="1" t="str">
        <f>VLOOKUP(F782,'Master(Ko Xóa)'!$F$2:$H$158,3,0)</f>
        <v>Out</v>
      </c>
      <c r="H782" s="6" t="s">
        <v>1108</v>
      </c>
      <c r="I782" s="6" t="s">
        <v>1113</v>
      </c>
    </row>
    <row r="783" spans="1:9">
      <c r="A783" s="4">
        <v>1</v>
      </c>
      <c r="B783" s="5" t="s">
        <v>870</v>
      </c>
      <c r="C783" s="6">
        <v>1699</v>
      </c>
      <c r="D783" s="7">
        <v>1</v>
      </c>
      <c r="E783">
        <v>0.46200000000000002</v>
      </c>
      <c r="F783" s="1">
        <v>201</v>
      </c>
      <c r="G783" s="1" t="str">
        <f>VLOOKUP(F783,'Master(Ko Xóa)'!$F$2:$H$158,3,0)</f>
        <v>Out</v>
      </c>
      <c r="H783" s="6" t="s">
        <v>1108</v>
      </c>
      <c r="I783" s="6" t="s">
        <v>1113</v>
      </c>
    </row>
    <row r="784" spans="1:9">
      <c r="A784" s="4">
        <v>1</v>
      </c>
      <c r="B784" s="5" t="s">
        <v>871</v>
      </c>
      <c r="C784" s="6">
        <v>1699</v>
      </c>
      <c r="D784" s="7">
        <v>1</v>
      </c>
      <c r="E784">
        <v>0.56720000000000004</v>
      </c>
      <c r="F784" s="1">
        <v>201</v>
      </c>
      <c r="G784" s="1" t="str">
        <f>VLOOKUP(F784,'Master(Ko Xóa)'!$F$2:$H$158,3,0)</f>
        <v>Out</v>
      </c>
      <c r="H784" s="6" t="s">
        <v>1108</v>
      </c>
      <c r="I784" s="6" t="s">
        <v>1113</v>
      </c>
    </row>
    <row r="785" spans="1:9">
      <c r="A785" s="4">
        <v>1</v>
      </c>
      <c r="B785" s="5" t="s">
        <v>872</v>
      </c>
      <c r="C785" s="6">
        <v>1699</v>
      </c>
      <c r="D785" s="7">
        <v>1</v>
      </c>
      <c r="E785">
        <v>2.8</v>
      </c>
      <c r="F785" s="1">
        <v>201</v>
      </c>
      <c r="G785" s="1" t="str">
        <f>VLOOKUP(F785,'Master(Ko Xóa)'!$F$2:$H$158,3,0)</f>
        <v>Out</v>
      </c>
      <c r="H785" s="6" t="s">
        <v>1108</v>
      </c>
      <c r="I785" s="6" t="s">
        <v>1113</v>
      </c>
    </row>
    <row r="786" spans="1:9">
      <c r="A786" s="4">
        <v>1</v>
      </c>
      <c r="B786" s="5" t="s">
        <v>873</v>
      </c>
      <c r="C786" s="6">
        <v>1699</v>
      </c>
      <c r="D786" s="7">
        <v>3</v>
      </c>
      <c r="E786">
        <v>11.399999999999999</v>
      </c>
      <c r="F786" s="1">
        <v>201</v>
      </c>
      <c r="G786" s="1" t="str">
        <f>VLOOKUP(F786,'Master(Ko Xóa)'!$F$2:$H$158,3,0)</f>
        <v>Out</v>
      </c>
      <c r="H786" s="6" t="s">
        <v>1108</v>
      </c>
      <c r="I786" s="6" t="s">
        <v>1113</v>
      </c>
    </row>
    <row r="787" spans="1:9">
      <c r="A787" s="4">
        <v>1</v>
      </c>
      <c r="B787" s="5" t="s">
        <v>874</v>
      </c>
      <c r="C787" s="6">
        <v>1699</v>
      </c>
      <c r="D787" s="7">
        <v>1</v>
      </c>
      <c r="E787">
        <v>2.3505199999999999</v>
      </c>
      <c r="F787" s="1">
        <v>201</v>
      </c>
      <c r="G787" s="1" t="str">
        <f>VLOOKUP(F787,'Master(Ko Xóa)'!$F$2:$H$158,3,0)</f>
        <v>Out</v>
      </c>
      <c r="H787" s="6" t="s">
        <v>1108</v>
      </c>
      <c r="I787" s="6" t="s">
        <v>1113</v>
      </c>
    </row>
    <row r="788" spans="1:9">
      <c r="A788" s="4">
        <v>1</v>
      </c>
      <c r="B788" s="5" t="s">
        <v>875</v>
      </c>
      <c r="C788" s="6">
        <v>1699</v>
      </c>
      <c r="D788" s="7">
        <v>1</v>
      </c>
      <c r="E788">
        <v>7.8</v>
      </c>
      <c r="F788" s="1">
        <v>201</v>
      </c>
      <c r="G788" s="1" t="str">
        <f>VLOOKUP(F788,'Master(Ko Xóa)'!$F$2:$H$158,3,0)</f>
        <v>Out</v>
      </c>
      <c r="H788" s="6" t="s">
        <v>1108</v>
      </c>
      <c r="I788" s="6" t="s">
        <v>1113</v>
      </c>
    </row>
    <row r="789" spans="1:9">
      <c r="A789" s="4">
        <v>1</v>
      </c>
      <c r="B789" s="5" t="s">
        <v>876</v>
      </c>
      <c r="C789" s="6">
        <v>1699</v>
      </c>
      <c r="D789" s="7">
        <v>1</v>
      </c>
      <c r="E789">
        <v>5.73</v>
      </c>
      <c r="F789" s="1">
        <v>201</v>
      </c>
      <c r="G789" s="1" t="str">
        <f>VLOOKUP(F789,'Master(Ko Xóa)'!$F$2:$H$158,3,0)</f>
        <v>Out</v>
      </c>
      <c r="H789" s="6" t="s">
        <v>1108</v>
      </c>
      <c r="I789" s="6" t="s">
        <v>1113</v>
      </c>
    </row>
    <row r="790" spans="1:9">
      <c r="A790" s="4">
        <v>1</v>
      </c>
      <c r="B790" s="5" t="s">
        <v>877</v>
      </c>
      <c r="C790" s="6">
        <v>1699</v>
      </c>
      <c r="D790" s="7">
        <v>1</v>
      </c>
      <c r="E790">
        <v>24.013999999999999</v>
      </c>
      <c r="F790" s="1">
        <v>201</v>
      </c>
      <c r="G790" s="1" t="str">
        <f>VLOOKUP(F790,'Master(Ko Xóa)'!$F$2:$H$158,3,0)</f>
        <v>Out</v>
      </c>
      <c r="H790" s="6" t="s">
        <v>1108</v>
      </c>
      <c r="I790" s="6" t="s">
        <v>1113</v>
      </c>
    </row>
    <row r="791" spans="1:9">
      <c r="A791" s="4">
        <v>1</v>
      </c>
      <c r="B791" s="5" t="s">
        <v>878</v>
      </c>
      <c r="C791" s="6">
        <v>1699</v>
      </c>
      <c r="D791" s="7">
        <v>1</v>
      </c>
      <c r="E791">
        <v>18.602</v>
      </c>
      <c r="F791" s="1">
        <v>201</v>
      </c>
      <c r="G791" s="1" t="str">
        <f>VLOOKUP(F791,'Master(Ko Xóa)'!$F$2:$H$158,3,0)</f>
        <v>Out</v>
      </c>
      <c r="H791" s="6" t="s">
        <v>1108</v>
      </c>
      <c r="I791" s="6" t="s">
        <v>1113</v>
      </c>
    </row>
    <row r="792" spans="1:9">
      <c r="A792" s="4">
        <v>1</v>
      </c>
      <c r="B792" s="5" t="s">
        <v>879</v>
      </c>
      <c r="C792" s="6">
        <v>1699</v>
      </c>
      <c r="D792" s="7">
        <v>2</v>
      </c>
      <c r="E792">
        <v>0.82979999999999998</v>
      </c>
      <c r="F792" s="1">
        <v>201</v>
      </c>
      <c r="G792" s="1" t="str">
        <f>VLOOKUP(F792,'Master(Ko Xóa)'!$F$2:$H$158,3,0)</f>
        <v>Out</v>
      </c>
      <c r="H792" s="6" t="s">
        <v>1108</v>
      </c>
      <c r="I792" s="6" t="s">
        <v>1113</v>
      </c>
    </row>
    <row r="793" spans="1:9">
      <c r="A793" s="4">
        <v>1</v>
      </c>
      <c r="B793" s="5" t="s">
        <v>880</v>
      </c>
      <c r="C793" s="6">
        <v>1699</v>
      </c>
      <c r="D793" s="7">
        <v>3</v>
      </c>
      <c r="E793">
        <v>0.21870000000000001</v>
      </c>
      <c r="F793" s="1">
        <v>201</v>
      </c>
      <c r="G793" s="1" t="str">
        <f>VLOOKUP(F793,'Master(Ko Xóa)'!$F$2:$H$158,3,0)</f>
        <v>Out</v>
      </c>
      <c r="H793" s="6" t="s">
        <v>1108</v>
      </c>
      <c r="I793" s="6" t="s">
        <v>1113</v>
      </c>
    </row>
    <row r="794" spans="1:9">
      <c r="A794" s="4">
        <v>1</v>
      </c>
      <c r="B794" s="5" t="s">
        <v>881</v>
      </c>
      <c r="C794" s="6">
        <v>1699</v>
      </c>
      <c r="D794" s="7">
        <v>1</v>
      </c>
      <c r="E794">
        <v>1.528</v>
      </c>
      <c r="F794" s="1">
        <v>201</v>
      </c>
      <c r="G794" s="1" t="str">
        <f>VLOOKUP(F794,'Master(Ko Xóa)'!$F$2:$H$158,3,0)</f>
        <v>Out</v>
      </c>
      <c r="H794" s="6" t="s">
        <v>1108</v>
      </c>
      <c r="I794" s="6" t="s">
        <v>1113</v>
      </c>
    </row>
    <row r="795" spans="1:9">
      <c r="A795" s="4">
        <v>1</v>
      </c>
      <c r="B795" s="5" t="s">
        <v>882</v>
      </c>
      <c r="C795" s="6">
        <v>1699</v>
      </c>
      <c r="D795" s="7">
        <v>1</v>
      </c>
      <c r="E795">
        <v>4.0899999999999999E-2</v>
      </c>
      <c r="F795" s="1">
        <v>201</v>
      </c>
      <c r="G795" s="1" t="str">
        <f>VLOOKUP(F795,'Master(Ko Xóa)'!$F$2:$H$158,3,0)</f>
        <v>Out</v>
      </c>
      <c r="H795" s="6" t="s">
        <v>1108</v>
      </c>
      <c r="I795" s="6" t="s">
        <v>1113</v>
      </c>
    </row>
    <row r="796" spans="1:9">
      <c r="A796" s="4">
        <v>1</v>
      </c>
      <c r="B796" s="5" t="s">
        <v>883</v>
      </c>
      <c r="C796" s="6">
        <v>1699</v>
      </c>
      <c r="D796" s="7">
        <v>1</v>
      </c>
      <c r="E796">
        <v>0.17938999999999999</v>
      </c>
      <c r="F796" s="1">
        <v>201</v>
      </c>
      <c r="G796" s="1" t="str">
        <f>VLOOKUP(F796,'Master(Ko Xóa)'!$F$2:$H$158,3,0)</f>
        <v>Out</v>
      </c>
      <c r="H796" s="6" t="s">
        <v>1108</v>
      </c>
      <c r="I796" s="6" t="s">
        <v>1113</v>
      </c>
    </row>
    <row r="797" spans="1:9">
      <c r="A797" s="4">
        <v>1</v>
      </c>
      <c r="B797" s="5" t="s">
        <v>884</v>
      </c>
      <c r="C797" s="6">
        <v>1699</v>
      </c>
      <c r="D797" s="7">
        <v>12</v>
      </c>
      <c r="E797">
        <v>1.6163999999999998</v>
      </c>
      <c r="F797" s="1">
        <v>201</v>
      </c>
      <c r="G797" s="1" t="str">
        <f>VLOOKUP(F797,'Master(Ko Xóa)'!$F$2:$H$158,3,0)</f>
        <v>Out</v>
      </c>
      <c r="H797" s="6" t="s">
        <v>1108</v>
      </c>
      <c r="I797" s="6" t="s">
        <v>1113</v>
      </c>
    </row>
    <row r="798" spans="1:9">
      <c r="A798" s="4">
        <v>1</v>
      </c>
      <c r="B798" s="5" t="s">
        <v>885</v>
      </c>
      <c r="C798" s="6">
        <v>1699</v>
      </c>
      <c r="D798" s="7">
        <v>1</v>
      </c>
      <c r="E798">
        <v>0.20760000000000001</v>
      </c>
      <c r="F798" s="1">
        <v>201</v>
      </c>
      <c r="G798" s="1" t="str">
        <f>VLOOKUP(F798,'Master(Ko Xóa)'!$F$2:$H$158,3,0)</f>
        <v>Out</v>
      </c>
      <c r="H798" s="6" t="s">
        <v>1108</v>
      </c>
      <c r="I798" s="6" t="s">
        <v>1113</v>
      </c>
    </row>
    <row r="799" spans="1:9">
      <c r="A799" s="4">
        <v>1</v>
      </c>
      <c r="B799" s="5" t="s">
        <v>886</v>
      </c>
      <c r="C799" s="6">
        <v>1699</v>
      </c>
      <c r="D799" s="7">
        <v>1</v>
      </c>
      <c r="E799">
        <v>0.2064</v>
      </c>
      <c r="F799" s="1">
        <v>201</v>
      </c>
      <c r="G799" s="1" t="str">
        <f>VLOOKUP(F799,'Master(Ko Xóa)'!$F$2:$H$158,3,0)</f>
        <v>Out</v>
      </c>
      <c r="H799" s="6" t="s">
        <v>1108</v>
      </c>
      <c r="I799" s="6" t="s">
        <v>1113</v>
      </c>
    </row>
    <row r="800" spans="1:9">
      <c r="A800" s="4">
        <v>1</v>
      </c>
      <c r="B800" s="5" t="s">
        <v>887</v>
      </c>
      <c r="C800" s="6">
        <v>1699</v>
      </c>
      <c r="D800" s="7">
        <v>2</v>
      </c>
      <c r="E800">
        <v>0.24284</v>
      </c>
      <c r="F800" s="1">
        <v>201</v>
      </c>
      <c r="G800" s="1" t="str">
        <f>VLOOKUP(F800,'Master(Ko Xóa)'!$F$2:$H$158,3,0)</f>
        <v>Out</v>
      </c>
      <c r="H800" s="6" t="s">
        <v>1108</v>
      </c>
      <c r="I800" s="6" t="s">
        <v>1113</v>
      </c>
    </row>
    <row r="801" spans="1:9">
      <c r="A801" s="4">
        <v>1</v>
      </c>
      <c r="B801" s="5" t="s">
        <v>888</v>
      </c>
      <c r="C801" s="6">
        <v>1699</v>
      </c>
      <c r="D801" s="7">
        <v>15</v>
      </c>
      <c r="E801">
        <v>6.8370000000000006</v>
      </c>
      <c r="F801" s="1">
        <v>201</v>
      </c>
      <c r="G801" s="1" t="str">
        <f>VLOOKUP(F801,'Master(Ko Xóa)'!$F$2:$H$158,3,0)</f>
        <v>Out</v>
      </c>
      <c r="H801" s="6" t="s">
        <v>1108</v>
      </c>
      <c r="I801" s="6" t="s">
        <v>1113</v>
      </c>
    </row>
    <row r="802" spans="1:9">
      <c r="A802" s="4">
        <v>1</v>
      </c>
      <c r="B802" s="5" t="s">
        <v>889</v>
      </c>
      <c r="C802" s="6">
        <v>1699</v>
      </c>
      <c r="D802" s="7">
        <v>1</v>
      </c>
      <c r="E802">
        <v>0.25800000000000001</v>
      </c>
      <c r="F802" s="1">
        <v>201</v>
      </c>
      <c r="G802" s="1" t="str">
        <f>VLOOKUP(F802,'Master(Ko Xóa)'!$F$2:$H$158,3,0)</f>
        <v>Out</v>
      </c>
      <c r="H802" s="6" t="s">
        <v>1108</v>
      </c>
      <c r="I802" s="6" t="s">
        <v>1113</v>
      </c>
    </row>
    <row r="803" spans="1:9">
      <c r="A803" s="4">
        <v>1</v>
      </c>
      <c r="B803" s="5" t="s">
        <v>890</v>
      </c>
      <c r="C803" s="6">
        <v>1699</v>
      </c>
      <c r="D803" s="7">
        <v>19</v>
      </c>
      <c r="E803">
        <v>2.2509299999999999</v>
      </c>
      <c r="F803" s="1">
        <v>201</v>
      </c>
      <c r="G803" s="1" t="str">
        <f>VLOOKUP(F803,'Master(Ko Xóa)'!$F$2:$H$158,3,0)</f>
        <v>Out</v>
      </c>
      <c r="H803" s="6" t="s">
        <v>1108</v>
      </c>
      <c r="I803" s="6" t="s">
        <v>1113</v>
      </c>
    </row>
    <row r="804" spans="1:9">
      <c r="A804" s="4">
        <v>1</v>
      </c>
      <c r="B804" s="5" t="s">
        <v>891</v>
      </c>
      <c r="C804" s="6">
        <v>1699</v>
      </c>
      <c r="D804" s="7">
        <v>4</v>
      </c>
      <c r="E804">
        <v>0.5132000000000001</v>
      </c>
      <c r="F804" s="1">
        <v>201</v>
      </c>
      <c r="G804" s="1" t="str">
        <f>VLOOKUP(F804,'Master(Ko Xóa)'!$F$2:$H$158,3,0)</f>
        <v>Out</v>
      </c>
      <c r="H804" s="6" t="s">
        <v>1108</v>
      </c>
      <c r="I804" s="6" t="s">
        <v>1113</v>
      </c>
    </row>
    <row r="805" spans="1:9">
      <c r="A805" s="4">
        <v>1</v>
      </c>
      <c r="B805" s="5" t="s">
        <v>892</v>
      </c>
      <c r="C805" s="6">
        <v>1699</v>
      </c>
      <c r="D805" s="7">
        <v>3</v>
      </c>
      <c r="E805">
        <v>0.41969999999999996</v>
      </c>
      <c r="F805" s="1">
        <v>201</v>
      </c>
      <c r="G805" s="1" t="str">
        <f>VLOOKUP(F805,'Master(Ko Xóa)'!$F$2:$H$158,3,0)</f>
        <v>Out</v>
      </c>
      <c r="H805" s="6" t="s">
        <v>1108</v>
      </c>
      <c r="I805" s="6" t="s">
        <v>1113</v>
      </c>
    </row>
    <row r="806" spans="1:9">
      <c r="A806" s="4">
        <v>1</v>
      </c>
      <c r="B806" s="5" t="s">
        <v>893</v>
      </c>
      <c r="C806" s="6">
        <v>1699</v>
      </c>
      <c r="D806" s="7">
        <v>2</v>
      </c>
      <c r="E806">
        <v>0.11026000000000001</v>
      </c>
      <c r="F806" s="1">
        <v>201</v>
      </c>
      <c r="G806" s="1" t="str">
        <f>VLOOKUP(F806,'Master(Ko Xóa)'!$F$2:$H$158,3,0)</f>
        <v>Out</v>
      </c>
      <c r="H806" s="6" t="s">
        <v>1108</v>
      </c>
      <c r="I806" s="6" t="s">
        <v>1113</v>
      </c>
    </row>
    <row r="807" spans="1:9">
      <c r="A807" s="4">
        <v>1</v>
      </c>
      <c r="B807" s="5" t="s">
        <v>894</v>
      </c>
      <c r="C807" s="6">
        <v>1699</v>
      </c>
      <c r="D807" s="7">
        <v>1</v>
      </c>
      <c r="E807">
        <v>0.95350000000000001</v>
      </c>
      <c r="F807" s="1">
        <v>201</v>
      </c>
      <c r="G807" s="1" t="str">
        <f>VLOOKUP(F807,'Master(Ko Xóa)'!$F$2:$H$158,3,0)</f>
        <v>Out</v>
      </c>
      <c r="H807" s="6" t="s">
        <v>1108</v>
      </c>
      <c r="I807" s="6" t="s">
        <v>1113</v>
      </c>
    </row>
    <row r="808" spans="1:9">
      <c r="A808" s="4">
        <v>1</v>
      </c>
      <c r="B808" s="5" t="s">
        <v>895</v>
      </c>
      <c r="C808" s="6">
        <v>1699</v>
      </c>
      <c r="D808" s="7">
        <v>1</v>
      </c>
      <c r="E808">
        <v>1.0492999999999999</v>
      </c>
      <c r="F808" s="1">
        <v>201</v>
      </c>
      <c r="G808" s="1" t="str">
        <f>VLOOKUP(F808,'Master(Ko Xóa)'!$F$2:$H$158,3,0)</f>
        <v>Out</v>
      </c>
      <c r="H808" s="6" t="s">
        <v>1108</v>
      </c>
      <c r="I808" s="6" t="s">
        <v>1113</v>
      </c>
    </row>
    <row r="809" spans="1:9">
      <c r="A809" s="4">
        <v>1</v>
      </c>
      <c r="B809" s="5" t="s">
        <v>896</v>
      </c>
      <c r="C809" s="6">
        <v>1699</v>
      </c>
      <c r="D809" s="7">
        <v>1</v>
      </c>
      <c r="E809">
        <v>1.5740399999999999</v>
      </c>
      <c r="F809" s="1">
        <v>201</v>
      </c>
      <c r="G809" s="1" t="str">
        <f>VLOOKUP(F809,'Master(Ko Xóa)'!$F$2:$H$158,3,0)</f>
        <v>Out</v>
      </c>
      <c r="H809" s="6" t="s">
        <v>1108</v>
      </c>
      <c r="I809" s="6" t="s">
        <v>1113</v>
      </c>
    </row>
    <row r="810" spans="1:9">
      <c r="A810" s="4">
        <v>1</v>
      </c>
      <c r="B810" s="5" t="s">
        <v>897</v>
      </c>
      <c r="C810" s="6">
        <v>1699</v>
      </c>
      <c r="D810" s="7">
        <v>1</v>
      </c>
      <c r="E810">
        <v>1.7722599999999999</v>
      </c>
      <c r="F810" s="1">
        <v>201</v>
      </c>
      <c r="G810" s="1" t="str">
        <f>VLOOKUP(F810,'Master(Ko Xóa)'!$F$2:$H$158,3,0)</f>
        <v>Out</v>
      </c>
      <c r="H810" s="6" t="s">
        <v>1108</v>
      </c>
      <c r="I810" s="6" t="s">
        <v>1113</v>
      </c>
    </row>
    <row r="811" spans="1:9">
      <c r="A811" s="4">
        <v>1</v>
      </c>
      <c r="B811" s="5" t="s">
        <v>898</v>
      </c>
      <c r="C811" s="6">
        <v>1699</v>
      </c>
      <c r="D811" s="7">
        <v>1</v>
      </c>
      <c r="E811">
        <v>0.29899999999999999</v>
      </c>
      <c r="F811" s="1">
        <v>201</v>
      </c>
      <c r="G811" s="1" t="str">
        <f>VLOOKUP(F811,'Master(Ko Xóa)'!$F$2:$H$158,3,0)</f>
        <v>Out</v>
      </c>
      <c r="H811" s="6" t="s">
        <v>1108</v>
      </c>
      <c r="I811" s="6" t="s">
        <v>1113</v>
      </c>
    </row>
    <row r="812" spans="1:9">
      <c r="A812" s="4">
        <v>1</v>
      </c>
      <c r="B812" s="5" t="s">
        <v>899</v>
      </c>
      <c r="C812" s="6">
        <v>1699</v>
      </c>
      <c r="D812" s="7">
        <v>2</v>
      </c>
      <c r="E812">
        <v>1.2905799999999998</v>
      </c>
      <c r="F812" s="1">
        <v>201</v>
      </c>
      <c r="G812" s="1" t="str">
        <f>VLOOKUP(F812,'Master(Ko Xóa)'!$F$2:$H$158,3,0)</f>
        <v>Out</v>
      </c>
      <c r="H812" s="6" t="s">
        <v>1108</v>
      </c>
      <c r="I812" s="6" t="s">
        <v>1113</v>
      </c>
    </row>
    <row r="813" spans="1:9">
      <c r="A813" s="4">
        <v>1</v>
      </c>
      <c r="B813" s="5" t="s">
        <v>900</v>
      </c>
      <c r="C813" s="6">
        <v>1699</v>
      </c>
      <c r="D813" s="7">
        <v>12</v>
      </c>
      <c r="E813">
        <v>5.0819999999999999</v>
      </c>
      <c r="F813" s="1">
        <v>201</v>
      </c>
      <c r="G813" s="1" t="str">
        <f>VLOOKUP(F813,'Master(Ko Xóa)'!$F$2:$H$158,3,0)</f>
        <v>Out</v>
      </c>
      <c r="H813" s="6" t="s">
        <v>1108</v>
      </c>
      <c r="I813" s="6" t="s">
        <v>1113</v>
      </c>
    </row>
    <row r="814" spans="1:9">
      <c r="A814" s="4">
        <v>1</v>
      </c>
      <c r="B814" s="5" t="s">
        <v>901</v>
      </c>
      <c r="C814" s="6">
        <v>1699</v>
      </c>
      <c r="D814" s="7">
        <v>2</v>
      </c>
      <c r="E814">
        <v>19.122</v>
      </c>
      <c r="F814" s="1">
        <v>201</v>
      </c>
      <c r="G814" s="1" t="str">
        <f>VLOOKUP(F814,'Master(Ko Xóa)'!$F$2:$H$158,3,0)</f>
        <v>Out</v>
      </c>
      <c r="H814" s="6" t="s">
        <v>1108</v>
      </c>
      <c r="I814" s="6" t="s">
        <v>1113</v>
      </c>
    </row>
    <row r="815" spans="1:9">
      <c r="A815" s="4">
        <v>1</v>
      </c>
      <c r="B815" s="5" t="s">
        <v>902</v>
      </c>
      <c r="C815" s="6">
        <v>1699</v>
      </c>
      <c r="D815" s="7">
        <v>2</v>
      </c>
      <c r="E815">
        <v>6.82</v>
      </c>
      <c r="F815" s="1">
        <v>201</v>
      </c>
      <c r="G815" s="1" t="str">
        <f>VLOOKUP(F815,'Master(Ko Xóa)'!$F$2:$H$158,3,0)</f>
        <v>Out</v>
      </c>
      <c r="H815" s="6" t="s">
        <v>1108</v>
      </c>
      <c r="I815" s="6" t="s">
        <v>1113</v>
      </c>
    </row>
    <row r="816" spans="1:9">
      <c r="A816" s="4">
        <v>1</v>
      </c>
      <c r="B816" s="5" t="s">
        <v>903</v>
      </c>
      <c r="C816" s="6">
        <v>1699</v>
      </c>
      <c r="D816" s="7">
        <v>8</v>
      </c>
      <c r="E816">
        <v>3.2011999999999996</v>
      </c>
      <c r="F816" s="1">
        <v>201</v>
      </c>
      <c r="G816" s="1" t="str">
        <f>VLOOKUP(F816,'Master(Ko Xóa)'!$F$2:$H$158,3,0)</f>
        <v>Out</v>
      </c>
      <c r="H816" s="6" t="s">
        <v>1108</v>
      </c>
      <c r="I816" s="6" t="s">
        <v>1113</v>
      </c>
    </row>
    <row r="817" spans="1:9">
      <c r="A817" s="4">
        <v>1</v>
      </c>
      <c r="B817" s="5" t="s">
        <v>904</v>
      </c>
      <c r="C817" s="6">
        <v>1699</v>
      </c>
      <c r="D817" s="7">
        <v>1</v>
      </c>
      <c r="E817">
        <v>9.1999999999999998E-3</v>
      </c>
      <c r="F817" s="1">
        <v>201</v>
      </c>
      <c r="G817" s="1" t="str">
        <f>VLOOKUP(F817,'Master(Ko Xóa)'!$F$2:$H$158,3,0)</f>
        <v>Out</v>
      </c>
      <c r="H817" s="6" t="s">
        <v>1108</v>
      </c>
      <c r="I817" s="6" t="s">
        <v>1113</v>
      </c>
    </row>
    <row r="818" spans="1:9">
      <c r="A818" s="4">
        <v>1</v>
      </c>
      <c r="B818" s="5" t="s">
        <v>905</v>
      </c>
      <c r="C818" s="6">
        <v>1699</v>
      </c>
      <c r="D818" s="7">
        <v>1</v>
      </c>
      <c r="E818">
        <v>1.46E-2</v>
      </c>
      <c r="F818" s="1">
        <v>201</v>
      </c>
      <c r="G818" s="1" t="str">
        <f>VLOOKUP(F818,'Master(Ko Xóa)'!$F$2:$H$158,3,0)</f>
        <v>Out</v>
      </c>
      <c r="H818" s="6" t="s">
        <v>1108</v>
      </c>
      <c r="I818" s="6" t="s">
        <v>1113</v>
      </c>
    </row>
    <row r="819" spans="1:9">
      <c r="A819" s="4">
        <v>1</v>
      </c>
      <c r="B819" s="5" t="s">
        <v>906</v>
      </c>
      <c r="C819" s="6">
        <v>1699</v>
      </c>
      <c r="D819" s="7">
        <v>1</v>
      </c>
      <c r="E819">
        <v>2.5999999999999999E-2</v>
      </c>
      <c r="F819" s="1">
        <v>201</v>
      </c>
      <c r="G819" s="1" t="str">
        <f>VLOOKUP(F819,'Master(Ko Xóa)'!$F$2:$H$158,3,0)</f>
        <v>Out</v>
      </c>
      <c r="H819" s="6" t="s">
        <v>1108</v>
      </c>
      <c r="I819" s="6" t="s">
        <v>1113</v>
      </c>
    </row>
    <row r="820" spans="1:9">
      <c r="A820" s="4">
        <v>1</v>
      </c>
      <c r="B820" s="5" t="s">
        <v>907</v>
      </c>
      <c r="C820" s="6">
        <v>1699</v>
      </c>
      <c r="D820" s="7">
        <v>1</v>
      </c>
      <c r="E820">
        <v>0.2185</v>
      </c>
      <c r="F820" s="1">
        <v>201</v>
      </c>
      <c r="G820" s="1" t="str">
        <f>VLOOKUP(F820,'Master(Ko Xóa)'!$F$2:$H$158,3,0)</f>
        <v>Out</v>
      </c>
      <c r="H820" s="6" t="s">
        <v>1108</v>
      </c>
      <c r="I820" s="6" t="s">
        <v>1113</v>
      </c>
    </row>
    <row r="821" spans="1:9">
      <c r="A821" s="4">
        <v>1</v>
      </c>
      <c r="B821" s="5" t="s">
        <v>908</v>
      </c>
      <c r="C821" s="6">
        <v>1699</v>
      </c>
      <c r="D821" s="7">
        <v>1</v>
      </c>
      <c r="E821">
        <v>0.12179999999999999</v>
      </c>
      <c r="F821" s="1">
        <v>201</v>
      </c>
      <c r="G821" s="1" t="str">
        <f>VLOOKUP(F821,'Master(Ko Xóa)'!$F$2:$H$158,3,0)</f>
        <v>Out</v>
      </c>
      <c r="H821" s="6" t="s">
        <v>1108</v>
      </c>
      <c r="I821" s="6" t="s">
        <v>1113</v>
      </c>
    </row>
    <row r="822" spans="1:9">
      <c r="A822" s="4">
        <v>1</v>
      </c>
      <c r="B822" s="5" t="s">
        <v>909</v>
      </c>
      <c r="C822" s="6">
        <v>1699</v>
      </c>
      <c r="D822" s="7">
        <v>1</v>
      </c>
      <c r="E822">
        <v>2.3E-2</v>
      </c>
      <c r="F822" s="1">
        <v>201</v>
      </c>
      <c r="G822" s="1" t="str">
        <f>VLOOKUP(F822,'Master(Ko Xóa)'!$F$2:$H$158,3,0)</f>
        <v>Out</v>
      </c>
      <c r="H822" s="6" t="s">
        <v>1108</v>
      </c>
      <c r="I822" s="6" t="s">
        <v>1113</v>
      </c>
    </row>
    <row r="823" spans="1:9">
      <c r="A823" s="4">
        <v>1</v>
      </c>
      <c r="B823" s="5" t="s">
        <v>910</v>
      </c>
      <c r="C823" s="6">
        <v>1699</v>
      </c>
      <c r="D823" s="7">
        <v>1</v>
      </c>
      <c r="E823">
        <v>4.2000000000000006E-3</v>
      </c>
      <c r="F823" s="1">
        <v>201</v>
      </c>
      <c r="G823" s="1" t="str">
        <f>VLOOKUP(F823,'Master(Ko Xóa)'!$F$2:$H$158,3,0)</f>
        <v>Out</v>
      </c>
      <c r="H823" s="6" t="s">
        <v>1108</v>
      </c>
      <c r="I823" s="6" t="s">
        <v>1113</v>
      </c>
    </row>
    <row r="824" spans="1:9">
      <c r="A824" s="4">
        <v>1</v>
      </c>
      <c r="B824" s="5" t="s">
        <v>911</v>
      </c>
      <c r="C824" s="6">
        <v>1699</v>
      </c>
      <c r="D824" s="7">
        <v>1</v>
      </c>
      <c r="E824">
        <v>3.4500000000000003E-2</v>
      </c>
      <c r="F824" s="1">
        <v>201</v>
      </c>
      <c r="G824" s="1" t="str">
        <f>VLOOKUP(F824,'Master(Ko Xóa)'!$F$2:$H$158,3,0)</f>
        <v>Out</v>
      </c>
      <c r="H824" s="6" t="s">
        <v>1108</v>
      </c>
      <c r="I824" s="6" t="s">
        <v>1113</v>
      </c>
    </row>
    <row r="825" spans="1:9">
      <c r="A825" s="4">
        <v>1</v>
      </c>
      <c r="B825" s="5" t="s">
        <v>912</v>
      </c>
      <c r="C825" s="6">
        <v>1699</v>
      </c>
      <c r="D825" s="7">
        <v>1</v>
      </c>
      <c r="E825">
        <v>3.0100000000000002E-2</v>
      </c>
      <c r="F825" s="1">
        <v>201</v>
      </c>
      <c r="G825" s="1" t="str">
        <f>VLOOKUP(F825,'Master(Ko Xóa)'!$F$2:$H$158,3,0)</f>
        <v>Out</v>
      </c>
      <c r="H825" s="6" t="s">
        <v>1108</v>
      </c>
      <c r="I825" s="6" t="s">
        <v>1113</v>
      </c>
    </row>
    <row r="826" spans="1:9">
      <c r="A826" s="4">
        <v>1</v>
      </c>
      <c r="B826" s="5" t="s">
        <v>913</v>
      </c>
      <c r="C826" s="6">
        <v>1699</v>
      </c>
      <c r="D826" s="7">
        <v>1</v>
      </c>
      <c r="E826">
        <v>3.3600000000000005E-2</v>
      </c>
      <c r="F826" s="1">
        <v>201</v>
      </c>
      <c r="G826" s="1" t="str">
        <f>VLOOKUP(F826,'Master(Ko Xóa)'!$F$2:$H$158,3,0)</f>
        <v>Out</v>
      </c>
      <c r="H826" s="6" t="s">
        <v>1108</v>
      </c>
      <c r="I826" s="6" t="s">
        <v>1113</v>
      </c>
    </row>
    <row r="827" spans="1:9">
      <c r="A827" s="4">
        <v>1</v>
      </c>
      <c r="B827" s="5" t="s">
        <v>914</v>
      </c>
      <c r="C827" s="6">
        <v>1699</v>
      </c>
      <c r="D827" s="7">
        <v>1</v>
      </c>
      <c r="E827">
        <v>3.0999999999999999E-3</v>
      </c>
      <c r="F827" s="1">
        <v>201</v>
      </c>
      <c r="G827" s="1" t="str">
        <f>VLOOKUP(F827,'Master(Ko Xóa)'!$F$2:$H$158,3,0)</f>
        <v>Out</v>
      </c>
      <c r="H827" s="6" t="s">
        <v>1108</v>
      </c>
      <c r="I827" s="6" t="s">
        <v>1113</v>
      </c>
    </row>
    <row r="828" spans="1:9">
      <c r="A828" s="4">
        <v>1</v>
      </c>
      <c r="B828" s="5" t="s">
        <v>915</v>
      </c>
      <c r="C828" s="6">
        <v>1699</v>
      </c>
      <c r="D828" s="7">
        <v>1</v>
      </c>
      <c r="E828">
        <v>0.13122</v>
      </c>
      <c r="F828" s="1">
        <v>201</v>
      </c>
      <c r="G828" s="1" t="str">
        <f>VLOOKUP(F828,'Master(Ko Xóa)'!$F$2:$H$158,3,0)</f>
        <v>Out</v>
      </c>
      <c r="H828" s="6" t="s">
        <v>1108</v>
      </c>
      <c r="I828" s="6" t="s">
        <v>1113</v>
      </c>
    </row>
    <row r="829" spans="1:9">
      <c r="A829" s="4">
        <v>1</v>
      </c>
      <c r="B829" s="5" t="s">
        <v>916</v>
      </c>
      <c r="C829" s="6">
        <v>1699</v>
      </c>
      <c r="D829" s="7">
        <v>1</v>
      </c>
      <c r="E829">
        <v>8.4419999999999995E-2</v>
      </c>
      <c r="F829" s="1">
        <v>201</v>
      </c>
      <c r="G829" s="1" t="str">
        <f>VLOOKUP(F829,'Master(Ko Xóa)'!$F$2:$H$158,3,0)</f>
        <v>Out</v>
      </c>
      <c r="H829" s="6" t="s">
        <v>1108</v>
      </c>
      <c r="I829" s="6" t="s">
        <v>1113</v>
      </c>
    </row>
    <row r="830" spans="1:9">
      <c r="A830" s="4">
        <v>1</v>
      </c>
      <c r="B830" s="5" t="s">
        <v>917</v>
      </c>
      <c r="C830" s="6">
        <v>1699</v>
      </c>
      <c r="D830" s="7">
        <v>1</v>
      </c>
      <c r="E830">
        <v>9.7869999999999999E-2</v>
      </c>
      <c r="F830" s="1">
        <v>201</v>
      </c>
      <c r="G830" s="1" t="str">
        <f>VLOOKUP(F830,'Master(Ko Xóa)'!$F$2:$H$158,3,0)</f>
        <v>Out</v>
      </c>
      <c r="H830" s="6" t="s">
        <v>1108</v>
      </c>
      <c r="I830" s="6" t="s">
        <v>1113</v>
      </c>
    </row>
    <row r="831" spans="1:9">
      <c r="A831" s="4">
        <v>1</v>
      </c>
      <c r="B831" s="5" t="s">
        <v>918</v>
      </c>
      <c r="C831" s="6">
        <v>1699</v>
      </c>
      <c r="D831" s="7">
        <v>1</v>
      </c>
      <c r="E831">
        <v>0.64329999999999998</v>
      </c>
      <c r="F831" s="1">
        <v>201</v>
      </c>
      <c r="G831" s="1" t="str">
        <f>VLOOKUP(F831,'Master(Ko Xóa)'!$F$2:$H$158,3,0)</f>
        <v>Out</v>
      </c>
      <c r="H831" s="6" t="s">
        <v>1108</v>
      </c>
      <c r="I831" s="6" t="s">
        <v>1113</v>
      </c>
    </row>
    <row r="832" spans="1:9">
      <c r="A832" s="4">
        <v>1</v>
      </c>
      <c r="B832" s="5" t="s">
        <v>919</v>
      </c>
      <c r="C832" s="6">
        <v>1699</v>
      </c>
      <c r="D832" s="7">
        <v>1</v>
      </c>
      <c r="E832">
        <v>0.64329999999999998</v>
      </c>
      <c r="F832" s="1">
        <v>201</v>
      </c>
      <c r="G832" s="1" t="str">
        <f>VLOOKUP(F832,'Master(Ko Xóa)'!$F$2:$H$158,3,0)</f>
        <v>Out</v>
      </c>
      <c r="H832" s="6" t="s">
        <v>1108</v>
      </c>
      <c r="I832" s="6" t="s">
        <v>1113</v>
      </c>
    </row>
    <row r="833" spans="1:9">
      <c r="A833" s="4">
        <v>1</v>
      </c>
      <c r="B833" s="5" t="s">
        <v>920</v>
      </c>
      <c r="C833" s="6">
        <v>1699</v>
      </c>
      <c r="D833" s="7">
        <v>1</v>
      </c>
      <c r="E833">
        <v>0.65773000000000004</v>
      </c>
      <c r="F833" s="1">
        <v>201</v>
      </c>
      <c r="G833" s="1" t="str">
        <f>VLOOKUP(F833,'Master(Ko Xóa)'!$F$2:$H$158,3,0)</f>
        <v>Out</v>
      </c>
      <c r="H833" s="6" t="s">
        <v>1108</v>
      </c>
      <c r="I833" s="6" t="s">
        <v>1113</v>
      </c>
    </row>
    <row r="834" spans="1:9">
      <c r="A834" s="4">
        <v>1</v>
      </c>
      <c r="B834" s="5" t="s">
        <v>921</v>
      </c>
      <c r="C834" s="6">
        <v>1699</v>
      </c>
      <c r="D834" s="7">
        <v>1</v>
      </c>
      <c r="E834">
        <v>0.752</v>
      </c>
      <c r="F834" s="1">
        <v>201</v>
      </c>
      <c r="G834" s="1" t="str">
        <f>VLOOKUP(F834,'Master(Ko Xóa)'!$F$2:$H$158,3,0)</f>
        <v>Out</v>
      </c>
      <c r="H834" s="6" t="s">
        <v>1108</v>
      </c>
      <c r="I834" s="6" t="s">
        <v>1113</v>
      </c>
    </row>
    <row r="835" spans="1:9">
      <c r="A835" s="4">
        <v>1</v>
      </c>
      <c r="B835" s="5" t="s">
        <v>922</v>
      </c>
      <c r="C835" s="6">
        <v>1699</v>
      </c>
      <c r="D835" s="7">
        <v>1</v>
      </c>
      <c r="E835">
        <v>0.14699999999999999</v>
      </c>
      <c r="F835" s="1">
        <v>201</v>
      </c>
      <c r="G835" s="1" t="str">
        <f>VLOOKUP(F835,'Master(Ko Xóa)'!$F$2:$H$158,3,0)</f>
        <v>Out</v>
      </c>
      <c r="H835" s="6" t="s">
        <v>1108</v>
      </c>
      <c r="I835" s="6" t="s">
        <v>1113</v>
      </c>
    </row>
    <row r="836" spans="1:9">
      <c r="A836" s="4">
        <v>1</v>
      </c>
      <c r="B836" s="5" t="s">
        <v>923</v>
      </c>
      <c r="C836" s="6">
        <v>1699</v>
      </c>
      <c r="D836" s="7">
        <v>2</v>
      </c>
      <c r="E836">
        <v>0.18859999999999999</v>
      </c>
      <c r="F836" s="1">
        <v>201</v>
      </c>
      <c r="G836" s="1" t="str">
        <f>VLOOKUP(F836,'Master(Ko Xóa)'!$F$2:$H$158,3,0)</f>
        <v>Out</v>
      </c>
      <c r="H836" s="6" t="s">
        <v>1108</v>
      </c>
      <c r="I836" s="6" t="s">
        <v>1113</v>
      </c>
    </row>
    <row r="837" spans="1:9">
      <c r="A837" s="4">
        <v>1</v>
      </c>
      <c r="B837" s="5" t="s">
        <v>924</v>
      </c>
      <c r="C837" s="6">
        <v>1699</v>
      </c>
      <c r="D837" s="7">
        <v>1</v>
      </c>
      <c r="E837">
        <v>8.6800000000000002E-2</v>
      </c>
      <c r="F837" s="1">
        <v>201</v>
      </c>
      <c r="G837" s="1" t="str">
        <f>VLOOKUP(F837,'Master(Ko Xóa)'!$F$2:$H$158,3,0)</f>
        <v>Out</v>
      </c>
      <c r="H837" s="6" t="s">
        <v>1108</v>
      </c>
      <c r="I837" s="6" t="s">
        <v>1113</v>
      </c>
    </row>
    <row r="838" spans="1:9">
      <c r="A838" s="4">
        <v>1</v>
      </c>
      <c r="B838" s="5" t="s">
        <v>925</v>
      </c>
      <c r="C838" s="6">
        <v>1699</v>
      </c>
      <c r="D838" s="7">
        <v>1</v>
      </c>
      <c r="E838">
        <v>6.9069999999999993E-2</v>
      </c>
      <c r="F838" s="1">
        <v>201</v>
      </c>
      <c r="G838" s="1" t="str">
        <f>VLOOKUP(F838,'Master(Ko Xóa)'!$F$2:$H$158,3,0)</f>
        <v>Out</v>
      </c>
      <c r="H838" s="6" t="s">
        <v>1108</v>
      </c>
      <c r="I838" s="6" t="s">
        <v>1113</v>
      </c>
    </row>
    <row r="839" spans="1:9">
      <c r="A839" s="4">
        <v>1</v>
      </c>
      <c r="B839" s="5" t="s">
        <v>926</v>
      </c>
      <c r="C839" s="6">
        <v>1699</v>
      </c>
      <c r="D839" s="7">
        <v>2</v>
      </c>
      <c r="E839">
        <v>0.38600000000000001</v>
      </c>
      <c r="F839" s="1">
        <v>201</v>
      </c>
      <c r="G839" s="1" t="str">
        <f>VLOOKUP(F839,'Master(Ko Xóa)'!$F$2:$H$158,3,0)</f>
        <v>Out</v>
      </c>
      <c r="H839" s="6" t="s">
        <v>1108</v>
      </c>
      <c r="I839" s="6" t="s">
        <v>1113</v>
      </c>
    </row>
    <row r="840" spans="1:9">
      <c r="A840" s="4">
        <v>1</v>
      </c>
      <c r="B840" s="5" t="s">
        <v>927</v>
      </c>
      <c r="C840" s="6">
        <v>1699</v>
      </c>
      <c r="D840" s="7">
        <v>1</v>
      </c>
      <c r="E840">
        <v>8.1000000000000003E-2</v>
      </c>
      <c r="F840" s="1">
        <v>201</v>
      </c>
      <c r="G840" s="1" t="str">
        <f>VLOOKUP(F840,'Master(Ko Xóa)'!$F$2:$H$158,3,0)</f>
        <v>Out</v>
      </c>
      <c r="H840" s="6" t="s">
        <v>1108</v>
      </c>
      <c r="I840" s="6" t="s">
        <v>1113</v>
      </c>
    </row>
    <row r="841" spans="1:9">
      <c r="A841" s="4">
        <v>1</v>
      </c>
      <c r="B841" s="5" t="s">
        <v>928</v>
      </c>
      <c r="C841" s="6">
        <v>1699</v>
      </c>
      <c r="D841" s="7">
        <v>1</v>
      </c>
      <c r="E841">
        <v>1.2463</v>
      </c>
      <c r="F841" s="1">
        <v>201</v>
      </c>
      <c r="G841" s="1" t="str">
        <f>VLOOKUP(F841,'Master(Ko Xóa)'!$F$2:$H$158,3,0)</f>
        <v>Out</v>
      </c>
      <c r="H841" s="6" t="s">
        <v>1108</v>
      </c>
      <c r="I841" s="6" t="s">
        <v>1113</v>
      </c>
    </row>
    <row r="842" spans="1:9">
      <c r="A842" s="4">
        <v>1</v>
      </c>
      <c r="B842" s="5" t="s">
        <v>929</v>
      </c>
      <c r="C842" s="6">
        <v>1699</v>
      </c>
      <c r="D842" s="7">
        <v>5</v>
      </c>
      <c r="E842">
        <v>0.77500000000000002</v>
      </c>
      <c r="F842" s="1">
        <v>201</v>
      </c>
      <c r="G842" s="1" t="str">
        <f>VLOOKUP(F842,'Master(Ko Xóa)'!$F$2:$H$158,3,0)</f>
        <v>Out</v>
      </c>
      <c r="H842" s="6" t="s">
        <v>1108</v>
      </c>
      <c r="I842" s="6" t="s">
        <v>1113</v>
      </c>
    </row>
    <row r="843" spans="1:9">
      <c r="A843" s="4">
        <v>1</v>
      </c>
      <c r="B843" s="5" t="s">
        <v>930</v>
      </c>
      <c r="C843" s="6">
        <v>1699</v>
      </c>
      <c r="D843" s="7">
        <v>10</v>
      </c>
      <c r="E843">
        <v>1.9</v>
      </c>
      <c r="F843" s="1">
        <v>201</v>
      </c>
      <c r="G843" s="1" t="str">
        <f>VLOOKUP(F843,'Master(Ko Xóa)'!$F$2:$H$158,3,0)</f>
        <v>Out</v>
      </c>
      <c r="H843" s="6" t="s">
        <v>1108</v>
      </c>
      <c r="I843" s="6" t="s">
        <v>1113</v>
      </c>
    </row>
    <row r="844" spans="1:9">
      <c r="A844" s="4">
        <v>1</v>
      </c>
      <c r="B844" s="5" t="s">
        <v>931</v>
      </c>
      <c r="C844" s="6">
        <v>1699</v>
      </c>
      <c r="D844" s="7">
        <v>10</v>
      </c>
      <c r="E844">
        <v>1.32</v>
      </c>
      <c r="F844" s="1">
        <v>201</v>
      </c>
      <c r="G844" s="1" t="str">
        <f>VLOOKUP(F844,'Master(Ko Xóa)'!$F$2:$H$158,3,0)</f>
        <v>Out</v>
      </c>
      <c r="H844" s="6" t="s">
        <v>1108</v>
      </c>
      <c r="I844" s="6" t="s">
        <v>1113</v>
      </c>
    </row>
    <row r="845" spans="1:9">
      <c r="A845" s="4">
        <v>1</v>
      </c>
      <c r="B845" s="5" t="s">
        <v>932</v>
      </c>
      <c r="C845" s="6">
        <v>1699</v>
      </c>
      <c r="D845" s="7">
        <v>3</v>
      </c>
      <c r="E845">
        <v>1.9823999999999997</v>
      </c>
      <c r="F845" s="1">
        <v>201</v>
      </c>
      <c r="G845" s="1" t="str">
        <f>VLOOKUP(F845,'Master(Ko Xóa)'!$F$2:$H$158,3,0)</f>
        <v>Out</v>
      </c>
      <c r="H845" s="6" t="s">
        <v>1108</v>
      </c>
      <c r="I845" s="6" t="s">
        <v>1113</v>
      </c>
    </row>
    <row r="846" spans="1:9">
      <c r="A846" s="4">
        <v>1</v>
      </c>
      <c r="B846" s="5" t="s">
        <v>933</v>
      </c>
      <c r="C846" s="6">
        <v>1699</v>
      </c>
      <c r="D846" s="7">
        <v>1</v>
      </c>
      <c r="E846">
        <v>0.70010000000000006</v>
      </c>
      <c r="F846" s="1">
        <v>201</v>
      </c>
      <c r="G846" s="1" t="str">
        <f>VLOOKUP(F846,'Master(Ko Xóa)'!$F$2:$H$158,3,0)</f>
        <v>Out</v>
      </c>
      <c r="H846" s="6" t="s">
        <v>1108</v>
      </c>
      <c r="I846" s="6" t="s">
        <v>1113</v>
      </c>
    </row>
    <row r="847" spans="1:9">
      <c r="A847" s="4">
        <v>1</v>
      </c>
      <c r="B847" s="5" t="s">
        <v>934</v>
      </c>
      <c r="C847" s="6">
        <v>1699</v>
      </c>
      <c r="D847" s="7">
        <v>19</v>
      </c>
      <c r="E847">
        <v>2.4851999999999999</v>
      </c>
      <c r="F847" s="1">
        <v>201</v>
      </c>
      <c r="G847" s="1" t="str">
        <f>VLOOKUP(F847,'Master(Ko Xóa)'!$F$2:$H$158,3,0)</f>
        <v>Out</v>
      </c>
      <c r="H847" s="6" t="s">
        <v>1108</v>
      </c>
      <c r="I847" s="6" t="s">
        <v>1113</v>
      </c>
    </row>
    <row r="848" spans="1:9">
      <c r="A848" s="4">
        <v>1</v>
      </c>
      <c r="B848" s="5" t="s">
        <v>935</v>
      </c>
      <c r="C848" s="6">
        <v>1699</v>
      </c>
      <c r="D848" s="7">
        <v>2</v>
      </c>
      <c r="E848">
        <v>0.44880000000000003</v>
      </c>
      <c r="F848" s="1">
        <v>201</v>
      </c>
      <c r="G848" s="1" t="str">
        <f>VLOOKUP(F848,'Master(Ko Xóa)'!$F$2:$H$158,3,0)</f>
        <v>Out</v>
      </c>
      <c r="H848" s="6" t="s">
        <v>1108</v>
      </c>
      <c r="I848" s="6" t="s">
        <v>1113</v>
      </c>
    </row>
    <row r="849" spans="1:9">
      <c r="A849" s="4">
        <v>1</v>
      </c>
      <c r="B849" s="5" t="s">
        <v>936</v>
      </c>
      <c r="C849" s="6">
        <v>1699</v>
      </c>
      <c r="D849" s="7">
        <v>1</v>
      </c>
      <c r="E849">
        <v>0.20069999999999999</v>
      </c>
      <c r="F849" s="1">
        <v>201</v>
      </c>
      <c r="G849" s="1" t="str">
        <f>VLOOKUP(F849,'Master(Ko Xóa)'!$F$2:$H$158,3,0)</f>
        <v>Out</v>
      </c>
      <c r="H849" s="6" t="s">
        <v>1108</v>
      </c>
      <c r="I849" s="6" t="s">
        <v>1113</v>
      </c>
    </row>
    <row r="850" spans="1:9">
      <c r="A850" s="4">
        <v>1</v>
      </c>
      <c r="B850" s="5" t="s">
        <v>937</v>
      </c>
      <c r="C850" s="6">
        <v>1699</v>
      </c>
      <c r="D850" s="7">
        <v>2</v>
      </c>
      <c r="E850">
        <v>1.6645999999999999</v>
      </c>
      <c r="F850" s="1">
        <v>201</v>
      </c>
      <c r="G850" s="1" t="str">
        <f>VLOOKUP(F850,'Master(Ko Xóa)'!$F$2:$H$158,3,0)</f>
        <v>Out</v>
      </c>
      <c r="H850" s="6" t="s">
        <v>1108</v>
      </c>
      <c r="I850" s="6" t="s">
        <v>1113</v>
      </c>
    </row>
    <row r="851" spans="1:9">
      <c r="A851" s="4">
        <v>1</v>
      </c>
      <c r="B851" s="5" t="s">
        <v>938</v>
      </c>
      <c r="C851" s="6">
        <v>1699</v>
      </c>
      <c r="D851" s="7">
        <v>1</v>
      </c>
      <c r="E851">
        <v>1.6303599999999998</v>
      </c>
      <c r="F851" s="1">
        <v>201</v>
      </c>
      <c r="G851" s="1" t="str">
        <f>VLOOKUP(F851,'Master(Ko Xóa)'!$F$2:$H$158,3,0)</f>
        <v>Out</v>
      </c>
      <c r="H851" s="6" t="s">
        <v>1108</v>
      </c>
      <c r="I851" s="6" t="s">
        <v>1113</v>
      </c>
    </row>
    <row r="852" spans="1:9">
      <c r="A852" s="4">
        <v>1</v>
      </c>
      <c r="B852" s="5" t="s">
        <v>939</v>
      </c>
      <c r="C852" s="6">
        <v>1699</v>
      </c>
      <c r="D852" s="7">
        <v>1</v>
      </c>
      <c r="E852">
        <v>1.7600000000000001E-2</v>
      </c>
      <c r="F852" s="1">
        <v>201</v>
      </c>
      <c r="G852" s="1" t="str">
        <f>VLOOKUP(F852,'Master(Ko Xóa)'!$F$2:$H$158,3,0)</f>
        <v>Out</v>
      </c>
      <c r="H852" s="6" t="s">
        <v>1108</v>
      </c>
      <c r="I852" s="6" t="s">
        <v>1113</v>
      </c>
    </row>
    <row r="853" spans="1:9">
      <c r="A853" s="4">
        <v>1</v>
      </c>
      <c r="B853" s="5" t="s">
        <v>940</v>
      </c>
      <c r="C853" s="6">
        <v>1699</v>
      </c>
      <c r="D853" s="7">
        <v>1</v>
      </c>
      <c r="E853">
        <v>8.9700000000000002E-2</v>
      </c>
      <c r="F853" s="1">
        <v>201</v>
      </c>
      <c r="G853" s="1" t="str">
        <f>VLOOKUP(F853,'Master(Ko Xóa)'!$F$2:$H$158,3,0)</f>
        <v>Out</v>
      </c>
      <c r="H853" s="6" t="s">
        <v>1108</v>
      </c>
      <c r="I853" s="6" t="s">
        <v>1113</v>
      </c>
    </row>
    <row r="854" spans="1:9">
      <c r="A854" s="4">
        <v>1</v>
      </c>
      <c r="B854" s="5" t="s">
        <v>941</v>
      </c>
      <c r="C854" s="6">
        <v>1699</v>
      </c>
      <c r="D854" s="7">
        <v>1</v>
      </c>
      <c r="E854">
        <v>7.0999999999999995E-3</v>
      </c>
      <c r="F854" s="1">
        <v>201</v>
      </c>
      <c r="G854" s="1" t="str">
        <f>VLOOKUP(F854,'Master(Ko Xóa)'!$F$2:$H$158,3,0)</f>
        <v>Out</v>
      </c>
      <c r="H854" s="6" t="s">
        <v>1108</v>
      </c>
      <c r="I854" s="6" t="s">
        <v>1113</v>
      </c>
    </row>
    <row r="855" spans="1:9">
      <c r="A855" s="4">
        <v>1</v>
      </c>
      <c r="B855" s="5" t="s">
        <v>942</v>
      </c>
      <c r="C855" s="6">
        <v>1699</v>
      </c>
      <c r="D855" s="7">
        <v>1</v>
      </c>
      <c r="E855">
        <v>9.1400000000000009E-2</v>
      </c>
      <c r="F855" s="1">
        <v>201</v>
      </c>
      <c r="G855" s="1" t="str">
        <f>VLOOKUP(F855,'Master(Ko Xóa)'!$F$2:$H$158,3,0)</f>
        <v>Out</v>
      </c>
      <c r="H855" s="6" t="s">
        <v>1108</v>
      </c>
      <c r="I855" s="6" t="s">
        <v>1113</v>
      </c>
    </row>
    <row r="856" spans="1:9">
      <c r="A856" s="4">
        <v>1</v>
      </c>
      <c r="B856" s="5" t="s">
        <v>943</v>
      </c>
      <c r="C856" s="6">
        <v>1699</v>
      </c>
      <c r="D856" s="7">
        <v>1</v>
      </c>
      <c r="E856">
        <v>9.35E-2</v>
      </c>
      <c r="F856" s="1">
        <v>201</v>
      </c>
      <c r="G856" s="1" t="str">
        <f>VLOOKUP(F856,'Master(Ko Xóa)'!$F$2:$H$158,3,0)</f>
        <v>Out</v>
      </c>
      <c r="H856" s="6" t="s">
        <v>1108</v>
      </c>
      <c r="I856" s="6" t="s">
        <v>1113</v>
      </c>
    </row>
    <row r="857" spans="1:9">
      <c r="A857" s="4">
        <v>1</v>
      </c>
      <c r="B857" s="5" t="s">
        <v>944</v>
      </c>
      <c r="C857" s="6">
        <v>1699</v>
      </c>
      <c r="D857" s="7">
        <v>1</v>
      </c>
      <c r="E857">
        <v>9.4500000000000001E-2</v>
      </c>
      <c r="F857" s="1">
        <v>201</v>
      </c>
      <c r="G857" s="1" t="str">
        <f>VLOOKUP(F857,'Master(Ko Xóa)'!$F$2:$H$158,3,0)</f>
        <v>Out</v>
      </c>
      <c r="H857" s="6" t="s">
        <v>1108</v>
      </c>
      <c r="I857" s="6" t="s">
        <v>1113</v>
      </c>
    </row>
    <row r="858" spans="1:9">
      <c r="A858" s="4">
        <v>1</v>
      </c>
      <c r="B858" s="5" t="s">
        <v>945</v>
      </c>
      <c r="C858" s="6">
        <v>1699</v>
      </c>
      <c r="D858" s="7">
        <v>4</v>
      </c>
      <c r="E858">
        <v>0.86320000000000008</v>
      </c>
      <c r="F858" s="1">
        <v>201</v>
      </c>
      <c r="G858" s="1" t="str">
        <f>VLOOKUP(F858,'Master(Ko Xóa)'!$F$2:$H$158,3,0)</f>
        <v>Out</v>
      </c>
      <c r="H858" s="6" t="s">
        <v>1108</v>
      </c>
      <c r="I858" s="6" t="s">
        <v>1113</v>
      </c>
    </row>
    <row r="859" spans="1:9">
      <c r="A859" s="4">
        <v>1</v>
      </c>
      <c r="B859" s="5" t="s">
        <v>946</v>
      </c>
      <c r="C859" s="6">
        <v>1699</v>
      </c>
      <c r="D859" s="7">
        <v>1</v>
      </c>
      <c r="E859">
        <v>2.7213000000000003</v>
      </c>
      <c r="F859" s="1">
        <v>201</v>
      </c>
      <c r="G859" s="1" t="str">
        <f>VLOOKUP(F859,'Master(Ko Xóa)'!$F$2:$H$158,3,0)</f>
        <v>Out</v>
      </c>
      <c r="H859" s="6" t="s">
        <v>1108</v>
      </c>
      <c r="I859" s="6" t="s">
        <v>1113</v>
      </c>
    </row>
    <row r="860" spans="1:9">
      <c r="A860" s="4">
        <v>1</v>
      </c>
      <c r="B860" s="5" t="s">
        <v>947</v>
      </c>
      <c r="C860" s="6">
        <v>1699</v>
      </c>
      <c r="D860" s="7">
        <v>4</v>
      </c>
      <c r="E860">
        <v>0.23039999999999999</v>
      </c>
      <c r="F860" s="1">
        <v>201</v>
      </c>
      <c r="G860" s="1" t="str">
        <f>VLOOKUP(F860,'Master(Ko Xóa)'!$F$2:$H$158,3,0)</f>
        <v>Out</v>
      </c>
      <c r="H860" s="6" t="s">
        <v>1108</v>
      </c>
      <c r="I860" s="6" t="s">
        <v>1113</v>
      </c>
    </row>
    <row r="861" spans="1:9">
      <c r="A861" s="4">
        <v>1</v>
      </c>
      <c r="B861" s="5" t="s">
        <v>948</v>
      </c>
      <c r="C861" s="6">
        <v>1699</v>
      </c>
      <c r="D861" s="7">
        <v>16</v>
      </c>
      <c r="E861">
        <v>4.3840000000000003</v>
      </c>
      <c r="F861" s="1">
        <v>201</v>
      </c>
      <c r="G861" s="1" t="str">
        <f>VLOOKUP(F861,'Master(Ko Xóa)'!$F$2:$H$158,3,0)</f>
        <v>Out</v>
      </c>
      <c r="H861" s="6" t="s">
        <v>1108</v>
      </c>
      <c r="I861" s="6" t="s">
        <v>1113</v>
      </c>
    </row>
    <row r="862" spans="1:9">
      <c r="A862" s="4">
        <v>1</v>
      </c>
      <c r="B862" s="5" t="s">
        <v>949</v>
      </c>
      <c r="C862" s="6">
        <v>1699</v>
      </c>
      <c r="D862" s="7">
        <v>16</v>
      </c>
      <c r="E862">
        <v>4.7679999999999998</v>
      </c>
      <c r="F862" s="1">
        <v>201</v>
      </c>
      <c r="G862" s="1" t="str">
        <f>VLOOKUP(F862,'Master(Ko Xóa)'!$F$2:$H$158,3,0)</f>
        <v>Out</v>
      </c>
      <c r="H862" s="6" t="s">
        <v>1108</v>
      </c>
      <c r="I862" s="6" t="s">
        <v>1113</v>
      </c>
    </row>
    <row r="863" spans="1:9">
      <c r="A863" s="4">
        <v>1</v>
      </c>
      <c r="B863" s="5" t="s">
        <v>950</v>
      </c>
      <c r="C863" s="6">
        <v>1699</v>
      </c>
      <c r="D863" s="7">
        <v>1</v>
      </c>
      <c r="E863">
        <v>2.0496999999999996</v>
      </c>
      <c r="F863" s="1">
        <v>201</v>
      </c>
      <c r="G863" s="1" t="str">
        <f>VLOOKUP(F863,'Master(Ko Xóa)'!$F$2:$H$158,3,0)</f>
        <v>Out</v>
      </c>
      <c r="H863" s="6" t="s">
        <v>1108</v>
      </c>
      <c r="I863" s="6" t="s">
        <v>1113</v>
      </c>
    </row>
    <row r="864" spans="1:9">
      <c r="A864" s="4">
        <v>1</v>
      </c>
      <c r="B864" s="5" t="s">
        <v>951</v>
      </c>
      <c r="C864" s="6">
        <v>1699</v>
      </c>
      <c r="D864" s="7">
        <v>1</v>
      </c>
      <c r="E864">
        <v>2.8364000000000003</v>
      </c>
      <c r="F864" s="1">
        <v>201</v>
      </c>
      <c r="G864" s="1" t="str">
        <f>VLOOKUP(F864,'Master(Ko Xóa)'!$F$2:$H$158,3,0)</f>
        <v>Out</v>
      </c>
      <c r="H864" s="6" t="s">
        <v>1108</v>
      </c>
      <c r="I864" s="6" t="s">
        <v>1113</v>
      </c>
    </row>
    <row r="865" spans="1:9">
      <c r="A865" s="4">
        <v>1</v>
      </c>
      <c r="B865" s="5" t="s">
        <v>952</v>
      </c>
      <c r="C865" s="6">
        <v>1699</v>
      </c>
      <c r="D865" s="7">
        <v>1</v>
      </c>
      <c r="E865">
        <v>1.02</v>
      </c>
      <c r="F865" s="1">
        <v>201</v>
      </c>
      <c r="G865" s="1" t="str">
        <f>VLOOKUP(F865,'Master(Ko Xóa)'!$F$2:$H$158,3,0)</f>
        <v>Out</v>
      </c>
      <c r="H865" s="6" t="s">
        <v>1108</v>
      </c>
      <c r="I865" s="6" t="s">
        <v>1113</v>
      </c>
    </row>
    <row r="866" spans="1:9">
      <c r="A866" s="4">
        <v>1</v>
      </c>
      <c r="B866" s="5" t="s">
        <v>953</v>
      </c>
      <c r="C866" s="6">
        <v>1699</v>
      </c>
      <c r="D866" s="7">
        <v>1</v>
      </c>
      <c r="E866">
        <v>1.2922</v>
      </c>
      <c r="F866" s="1">
        <v>201</v>
      </c>
      <c r="G866" s="1" t="str">
        <f>VLOOKUP(F866,'Master(Ko Xóa)'!$F$2:$H$158,3,0)</f>
        <v>Out</v>
      </c>
      <c r="H866" s="6" t="s">
        <v>1108</v>
      </c>
      <c r="I866" s="6" t="s">
        <v>1113</v>
      </c>
    </row>
    <row r="867" spans="1:9">
      <c r="A867" s="4">
        <v>1</v>
      </c>
      <c r="B867" s="5" t="s">
        <v>954</v>
      </c>
      <c r="C867" s="6">
        <v>1699</v>
      </c>
      <c r="D867" s="7">
        <v>1</v>
      </c>
      <c r="E867">
        <v>1.0509999999999999</v>
      </c>
      <c r="F867" s="1">
        <v>201</v>
      </c>
      <c r="G867" s="1" t="str">
        <f>VLOOKUP(F867,'Master(Ko Xóa)'!$F$2:$H$158,3,0)</f>
        <v>Out</v>
      </c>
      <c r="H867" s="6" t="s">
        <v>1108</v>
      </c>
      <c r="I867" s="6" t="s">
        <v>1113</v>
      </c>
    </row>
    <row r="868" spans="1:9">
      <c r="A868" s="4">
        <v>1</v>
      </c>
      <c r="B868" s="5" t="s">
        <v>955</v>
      </c>
      <c r="C868" s="6">
        <v>1699</v>
      </c>
      <c r="D868" s="7">
        <v>1</v>
      </c>
      <c r="E868">
        <v>1.2304000000000002</v>
      </c>
      <c r="F868" s="1">
        <v>201</v>
      </c>
      <c r="G868" s="1" t="str">
        <f>VLOOKUP(F868,'Master(Ko Xóa)'!$F$2:$H$158,3,0)</f>
        <v>Out</v>
      </c>
      <c r="H868" s="6" t="s">
        <v>1108</v>
      </c>
      <c r="I868" s="6" t="s">
        <v>1113</v>
      </c>
    </row>
    <row r="869" spans="1:9">
      <c r="A869" s="4">
        <v>1</v>
      </c>
      <c r="B869" s="5" t="s">
        <v>956</v>
      </c>
      <c r="C869" s="6">
        <v>1699</v>
      </c>
      <c r="D869" s="7">
        <v>1</v>
      </c>
      <c r="E869">
        <v>1.47E-2</v>
      </c>
      <c r="F869" s="1">
        <v>201</v>
      </c>
      <c r="G869" s="1" t="str">
        <f>VLOOKUP(F869,'Master(Ko Xóa)'!$F$2:$H$158,3,0)</f>
        <v>Out</v>
      </c>
      <c r="H869" s="6" t="s">
        <v>1108</v>
      </c>
      <c r="I869" s="6" t="s">
        <v>1113</v>
      </c>
    </row>
    <row r="870" spans="1:9">
      <c r="A870" s="4">
        <v>1</v>
      </c>
      <c r="B870" s="5" t="s">
        <v>957</v>
      </c>
      <c r="C870" s="6">
        <v>1699</v>
      </c>
      <c r="D870" s="7">
        <v>1</v>
      </c>
      <c r="E870">
        <v>9.1799999999999993E-2</v>
      </c>
      <c r="F870" s="1">
        <v>201</v>
      </c>
      <c r="G870" s="1" t="str">
        <f>VLOOKUP(F870,'Master(Ko Xóa)'!$F$2:$H$158,3,0)</f>
        <v>Out</v>
      </c>
      <c r="H870" s="6" t="s">
        <v>1108</v>
      </c>
      <c r="I870" s="6" t="s">
        <v>1113</v>
      </c>
    </row>
    <row r="871" spans="1:9">
      <c r="A871" s="4">
        <v>1</v>
      </c>
      <c r="B871" s="5" t="s">
        <v>958</v>
      </c>
      <c r="C871" s="6">
        <v>1699</v>
      </c>
      <c r="D871" s="7">
        <v>1</v>
      </c>
      <c r="E871">
        <v>0.50770000000000004</v>
      </c>
      <c r="F871" s="1">
        <v>201</v>
      </c>
      <c r="G871" s="1" t="str">
        <f>VLOOKUP(F871,'Master(Ko Xóa)'!$F$2:$H$158,3,0)</f>
        <v>Out</v>
      </c>
      <c r="H871" s="6" t="s">
        <v>1108</v>
      </c>
      <c r="I871" s="6" t="s">
        <v>1113</v>
      </c>
    </row>
    <row r="872" spans="1:9">
      <c r="A872" s="4">
        <v>1</v>
      </c>
      <c r="B872" s="5" t="s">
        <v>959</v>
      </c>
      <c r="C872" s="6">
        <v>1699</v>
      </c>
      <c r="D872" s="7">
        <v>1</v>
      </c>
      <c r="E872">
        <v>0.6603</v>
      </c>
      <c r="F872" s="1">
        <v>201</v>
      </c>
      <c r="G872" s="1" t="str">
        <f>VLOOKUP(F872,'Master(Ko Xóa)'!$F$2:$H$158,3,0)</f>
        <v>Out</v>
      </c>
      <c r="H872" s="6" t="s">
        <v>1108</v>
      </c>
      <c r="I872" s="6" t="s">
        <v>1113</v>
      </c>
    </row>
    <row r="873" spans="1:9">
      <c r="A873" s="4">
        <v>1</v>
      </c>
      <c r="B873" s="5" t="s">
        <v>960</v>
      </c>
      <c r="C873" s="6">
        <v>1699</v>
      </c>
      <c r="D873" s="7">
        <v>1</v>
      </c>
      <c r="E873">
        <v>0.62839999999999996</v>
      </c>
      <c r="F873" s="1">
        <v>201</v>
      </c>
      <c r="G873" s="1" t="str">
        <f>VLOOKUP(F873,'Master(Ko Xóa)'!$F$2:$H$158,3,0)</f>
        <v>Out</v>
      </c>
      <c r="H873" s="6" t="s">
        <v>1108</v>
      </c>
      <c r="I873" s="6" t="s">
        <v>1113</v>
      </c>
    </row>
    <row r="874" spans="1:9">
      <c r="A874" s="4">
        <v>1</v>
      </c>
      <c r="B874" s="5" t="s">
        <v>961</v>
      </c>
      <c r="C874" s="6">
        <v>1699</v>
      </c>
      <c r="D874" s="7">
        <v>1</v>
      </c>
      <c r="E874">
        <v>0.19290000000000002</v>
      </c>
      <c r="F874" s="1">
        <v>201</v>
      </c>
      <c r="G874" s="1" t="str">
        <f>VLOOKUP(F874,'Master(Ko Xóa)'!$F$2:$H$158,3,0)</f>
        <v>Out</v>
      </c>
      <c r="H874" s="6" t="s">
        <v>1108</v>
      </c>
      <c r="I874" s="6" t="s">
        <v>1113</v>
      </c>
    </row>
    <row r="875" spans="1:9">
      <c r="A875" s="4">
        <v>1</v>
      </c>
      <c r="B875" s="5" t="s">
        <v>962</v>
      </c>
      <c r="C875" s="6">
        <v>1699</v>
      </c>
      <c r="D875" s="7">
        <v>1</v>
      </c>
      <c r="E875">
        <v>0.34875</v>
      </c>
      <c r="F875" s="1">
        <v>201</v>
      </c>
      <c r="G875" s="1" t="str">
        <f>VLOOKUP(F875,'Master(Ko Xóa)'!$F$2:$H$158,3,0)</f>
        <v>Out</v>
      </c>
      <c r="H875" s="6" t="s">
        <v>1108</v>
      </c>
      <c r="I875" s="6" t="s">
        <v>1113</v>
      </c>
    </row>
    <row r="876" spans="1:9">
      <c r="A876" s="4">
        <v>1</v>
      </c>
      <c r="B876" s="5" t="s">
        <v>963</v>
      </c>
      <c r="C876" s="6">
        <v>1699</v>
      </c>
      <c r="D876" s="7">
        <v>1</v>
      </c>
      <c r="E876">
        <v>0.34542</v>
      </c>
      <c r="F876" s="1">
        <v>201</v>
      </c>
      <c r="G876" s="1" t="str">
        <f>VLOOKUP(F876,'Master(Ko Xóa)'!$F$2:$H$158,3,0)</f>
        <v>Out</v>
      </c>
      <c r="H876" s="6" t="s">
        <v>1108</v>
      </c>
      <c r="I876" s="6" t="s">
        <v>1113</v>
      </c>
    </row>
    <row r="877" spans="1:9">
      <c r="A877" s="4">
        <v>1</v>
      </c>
      <c r="B877" s="5" t="s">
        <v>964</v>
      </c>
      <c r="C877" s="6">
        <v>1699</v>
      </c>
      <c r="D877" s="7">
        <v>1</v>
      </c>
      <c r="E877">
        <v>0.35880000000000001</v>
      </c>
      <c r="F877" s="1">
        <v>201</v>
      </c>
      <c r="G877" s="1" t="str">
        <f>VLOOKUP(F877,'Master(Ko Xóa)'!$F$2:$H$158,3,0)</f>
        <v>Out</v>
      </c>
      <c r="H877" s="6" t="s">
        <v>1108</v>
      </c>
      <c r="I877" s="6" t="s">
        <v>1113</v>
      </c>
    </row>
    <row r="878" spans="1:9">
      <c r="A878" s="4">
        <v>1</v>
      </c>
      <c r="B878" s="5" t="s">
        <v>965</v>
      </c>
      <c r="C878" s="6">
        <v>1699</v>
      </c>
      <c r="D878" s="7">
        <v>1</v>
      </c>
      <c r="E878">
        <v>0.3523</v>
      </c>
      <c r="F878" s="1">
        <v>201</v>
      </c>
      <c r="G878" s="1" t="str">
        <f>VLOOKUP(F878,'Master(Ko Xóa)'!$F$2:$H$158,3,0)</f>
        <v>Out</v>
      </c>
      <c r="H878" s="6" t="s">
        <v>1108</v>
      </c>
      <c r="I878" s="6" t="s">
        <v>1113</v>
      </c>
    </row>
    <row r="879" spans="1:9">
      <c r="A879" s="4">
        <v>1</v>
      </c>
      <c r="B879" s="5" t="s">
        <v>966</v>
      </c>
      <c r="C879" s="6">
        <v>1699</v>
      </c>
      <c r="D879" s="7">
        <v>1</v>
      </c>
      <c r="E879">
        <v>0.85199999999999998</v>
      </c>
      <c r="F879" s="1">
        <v>201</v>
      </c>
      <c r="G879" s="1" t="str">
        <f>VLOOKUP(F879,'Master(Ko Xóa)'!$F$2:$H$158,3,0)</f>
        <v>Out</v>
      </c>
      <c r="H879" s="6" t="s">
        <v>1108</v>
      </c>
      <c r="I879" s="6" t="s">
        <v>1113</v>
      </c>
    </row>
    <row r="880" spans="1:9">
      <c r="A880" s="4">
        <v>1</v>
      </c>
      <c r="B880" s="5" t="s">
        <v>967</v>
      </c>
      <c r="C880" s="6">
        <v>1699</v>
      </c>
      <c r="D880" s="7">
        <v>1</v>
      </c>
      <c r="E880">
        <v>0.24111000000000002</v>
      </c>
      <c r="F880" s="1">
        <v>201</v>
      </c>
      <c r="G880" s="1" t="str">
        <f>VLOOKUP(F880,'Master(Ko Xóa)'!$F$2:$H$158,3,0)</f>
        <v>Out</v>
      </c>
      <c r="H880" s="6" t="s">
        <v>1108</v>
      </c>
      <c r="I880" s="6" t="s">
        <v>1113</v>
      </c>
    </row>
    <row r="881" spans="1:9">
      <c r="A881" s="4">
        <v>1</v>
      </c>
      <c r="B881" s="5" t="s">
        <v>968</v>
      </c>
      <c r="C881" s="6">
        <v>1699</v>
      </c>
      <c r="D881" s="7">
        <v>1</v>
      </c>
      <c r="E881">
        <v>0.21425999999999998</v>
      </c>
      <c r="F881" s="1">
        <v>201</v>
      </c>
      <c r="G881" s="1" t="str">
        <f>VLOOKUP(F881,'Master(Ko Xóa)'!$F$2:$H$158,3,0)</f>
        <v>Out</v>
      </c>
      <c r="H881" s="6" t="s">
        <v>1108</v>
      </c>
      <c r="I881" s="6" t="s">
        <v>1113</v>
      </c>
    </row>
    <row r="882" spans="1:9">
      <c r="A882" s="4">
        <v>1</v>
      </c>
      <c r="B882" s="5" t="s">
        <v>969</v>
      </c>
      <c r="C882" s="6">
        <v>1699</v>
      </c>
      <c r="D882" s="7">
        <v>1</v>
      </c>
      <c r="E882">
        <v>0.27560000000000001</v>
      </c>
      <c r="F882" s="1">
        <v>201</v>
      </c>
      <c r="G882" s="1" t="str">
        <f>VLOOKUP(F882,'Master(Ko Xóa)'!$F$2:$H$158,3,0)</f>
        <v>Out</v>
      </c>
      <c r="H882" s="6" t="s">
        <v>1108</v>
      </c>
      <c r="I882" s="6" t="s">
        <v>1113</v>
      </c>
    </row>
    <row r="883" spans="1:9">
      <c r="A883" s="4">
        <v>1</v>
      </c>
      <c r="B883" s="5" t="s">
        <v>970</v>
      </c>
      <c r="C883" s="6">
        <v>1699</v>
      </c>
      <c r="D883" s="7">
        <v>1</v>
      </c>
      <c r="E883">
        <v>0.13497000000000001</v>
      </c>
      <c r="F883" s="1">
        <v>201</v>
      </c>
      <c r="G883" s="1" t="str">
        <f>VLOOKUP(F883,'Master(Ko Xóa)'!$F$2:$H$158,3,0)</f>
        <v>Out</v>
      </c>
      <c r="H883" s="6" t="s">
        <v>1108</v>
      </c>
      <c r="I883" s="6" t="s">
        <v>1113</v>
      </c>
    </row>
    <row r="884" spans="1:9">
      <c r="A884" s="4">
        <v>1</v>
      </c>
      <c r="B884" s="5" t="s">
        <v>971</v>
      </c>
      <c r="C884" s="6">
        <v>1699</v>
      </c>
      <c r="D884" s="7">
        <v>1</v>
      </c>
      <c r="E884">
        <v>0.12459999999999999</v>
      </c>
      <c r="F884" s="1">
        <v>201</v>
      </c>
      <c r="G884" s="1" t="str">
        <f>VLOOKUP(F884,'Master(Ko Xóa)'!$F$2:$H$158,3,0)</f>
        <v>Out</v>
      </c>
      <c r="H884" s="6" t="s">
        <v>1108</v>
      </c>
      <c r="I884" s="6" t="s">
        <v>1113</v>
      </c>
    </row>
    <row r="885" spans="1:9">
      <c r="A885" s="4">
        <v>1</v>
      </c>
      <c r="B885" s="5" t="s">
        <v>972</v>
      </c>
      <c r="C885" s="6">
        <v>1699</v>
      </c>
      <c r="D885" s="7">
        <v>1</v>
      </c>
      <c r="E885">
        <v>0.16453999999999999</v>
      </c>
      <c r="F885" s="1">
        <v>201</v>
      </c>
      <c r="G885" s="1" t="str">
        <f>VLOOKUP(F885,'Master(Ko Xóa)'!$F$2:$H$158,3,0)</f>
        <v>Out</v>
      </c>
      <c r="H885" s="6" t="s">
        <v>1108</v>
      </c>
      <c r="I885" s="6" t="s">
        <v>1113</v>
      </c>
    </row>
    <row r="886" spans="1:9">
      <c r="A886" s="4">
        <v>1</v>
      </c>
      <c r="B886" s="5" t="s">
        <v>973</v>
      </c>
      <c r="C886" s="6">
        <v>1699</v>
      </c>
      <c r="D886" s="7">
        <v>1</v>
      </c>
      <c r="E886">
        <v>0.21356</v>
      </c>
      <c r="F886" s="1">
        <v>201</v>
      </c>
      <c r="G886" s="1" t="str">
        <f>VLOOKUP(F886,'Master(Ko Xóa)'!$F$2:$H$158,3,0)</f>
        <v>Out</v>
      </c>
      <c r="H886" s="6" t="s">
        <v>1108</v>
      </c>
      <c r="I886" s="6" t="s">
        <v>1113</v>
      </c>
    </row>
    <row r="887" spans="1:9">
      <c r="A887" s="4">
        <v>1</v>
      </c>
      <c r="B887" s="5" t="s">
        <v>974</v>
      </c>
      <c r="C887" s="6">
        <v>1699</v>
      </c>
      <c r="D887" s="7">
        <v>1</v>
      </c>
      <c r="E887">
        <v>0.1762</v>
      </c>
      <c r="F887" s="1">
        <v>201</v>
      </c>
      <c r="G887" s="1" t="str">
        <f>VLOOKUP(F887,'Master(Ko Xóa)'!$F$2:$H$158,3,0)</f>
        <v>Out</v>
      </c>
      <c r="H887" s="6" t="s">
        <v>1108</v>
      </c>
      <c r="I887" s="6" t="s">
        <v>1113</v>
      </c>
    </row>
    <row r="888" spans="1:9">
      <c r="A888" s="4">
        <v>1</v>
      </c>
      <c r="B888" s="5" t="s">
        <v>975</v>
      </c>
      <c r="C888" s="6">
        <v>1699</v>
      </c>
      <c r="D888" s="7">
        <v>1</v>
      </c>
      <c r="E888">
        <v>9.7200000000000009E-2</v>
      </c>
      <c r="F888" s="1">
        <v>201</v>
      </c>
      <c r="G888" s="1" t="str">
        <f>VLOOKUP(F888,'Master(Ko Xóa)'!$F$2:$H$158,3,0)</f>
        <v>Out</v>
      </c>
      <c r="H888" s="6" t="s">
        <v>1108</v>
      </c>
      <c r="I888" s="6" t="s">
        <v>1113</v>
      </c>
    </row>
    <row r="889" spans="1:9">
      <c r="A889" s="4">
        <v>1</v>
      </c>
      <c r="B889" s="5" t="s">
        <v>976</v>
      </c>
      <c r="C889" s="6">
        <v>1699</v>
      </c>
      <c r="D889" s="7">
        <v>1</v>
      </c>
      <c r="E889">
        <v>1.2E-2</v>
      </c>
      <c r="F889" s="1">
        <v>201</v>
      </c>
      <c r="G889" s="1" t="str">
        <f>VLOOKUP(F889,'Master(Ko Xóa)'!$F$2:$H$158,3,0)</f>
        <v>Out</v>
      </c>
      <c r="H889" s="6" t="s">
        <v>1108</v>
      </c>
      <c r="I889" s="6" t="s">
        <v>1113</v>
      </c>
    </row>
    <row r="890" spans="1:9">
      <c r="A890" s="4">
        <v>1</v>
      </c>
      <c r="B890" s="5" t="s">
        <v>977</v>
      </c>
      <c r="C890" s="6">
        <v>1699</v>
      </c>
      <c r="D890" s="7">
        <v>1</v>
      </c>
      <c r="E890">
        <v>1.2E-2</v>
      </c>
      <c r="F890" s="1">
        <v>201</v>
      </c>
      <c r="G890" s="1" t="str">
        <f>VLOOKUP(F890,'Master(Ko Xóa)'!$F$2:$H$158,3,0)</f>
        <v>Out</v>
      </c>
      <c r="H890" s="6" t="s">
        <v>1108</v>
      </c>
      <c r="I890" s="6" t="s">
        <v>1113</v>
      </c>
    </row>
    <row r="891" spans="1:9">
      <c r="A891" s="4">
        <v>1</v>
      </c>
      <c r="B891" s="5" t="s">
        <v>978</v>
      </c>
      <c r="C891" s="6">
        <v>1699</v>
      </c>
      <c r="D891" s="7">
        <v>1</v>
      </c>
      <c r="E891">
        <v>3.048E-2</v>
      </c>
      <c r="F891" s="1">
        <v>201</v>
      </c>
      <c r="G891" s="1" t="str">
        <f>VLOOKUP(F891,'Master(Ko Xóa)'!$F$2:$H$158,3,0)</f>
        <v>Out</v>
      </c>
      <c r="H891" s="6" t="s">
        <v>1108</v>
      </c>
      <c r="I891" s="6" t="s">
        <v>1113</v>
      </c>
    </row>
    <row r="892" spans="1:9">
      <c r="A892" s="4">
        <v>1</v>
      </c>
      <c r="B892" s="5" t="s">
        <v>979</v>
      </c>
      <c r="C892" s="6">
        <v>1699</v>
      </c>
      <c r="D892" s="7">
        <v>1</v>
      </c>
      <c r="E892">
        <v>9.5219999999999999E-2</v>
      </c>
      <c r="F892" s="1">
        <v>201</v>
      </c>
      <c r="G892" s="1" t="str">
        <f>VLOOKUP(F892,'Master(Ko Xóa)'!$F$2:$H$158,3,0)</f>
        <v>Out</v>
      </c>
      <c r="H892" s="6" t="s">
        <v>1108</v>
      </c>
      <c r="I892" s="6" t="s">
        <v>1113</v>
      </c>
    </row>
    <row r="893" spans="1:9">
      <c r="A893" s="4">
        <v>1</v>
      </c>
      <c r="B893" s="5" t="s">
        <v>980</v>
      </c>
      <c r="C893" s="6">
        <v>1699</v>
      </c>
      <c r="D893" s="7">
        <v>1</v>
      </c>
      <c r="E893">
        <v>3.9820000000000001E-2</v>
      </c>
      <c r="F893" s="1">
        <v>201</v>
      </c>
      <c r="G893" s="1" t="str">
        <f>VLOOKUP(F893,'Master(Ko Xóa)'!$F$2:$H$158,3,0)</f>
        <v>Out</v>
      </c>
      <c r="H893" s="6" t="s">
        <v>1108</v>
      </c>
      <c r="I893" s="6" t="s">
        <v>1113</v>
      </c>
    </row>
    <row r="894" spans="1:9">
      <c r="A894" s="4">
        <v>1</v>
      </c>
      <c r="B894" s="5" t="s">
        <v>981</v>
      </c>
      <c r="C894" s="6">
        <v>1699</v>
      </c>
      <c r="D894" s="7">
        <v>1</v>
      </c>
      <c r="E894">
        <v>2E-3</v>
      </c>
      <c r="F894" s="1">
        <v>201</v>
      </c>
      <c r="G894" s="1" t="str">
        <f>VLOOKUP(F894,'Master(Ko Xóa)'!$F$2:$H$158,3,0)</f>
        <v>Out</v>
      </c>
      <c r="H894" s="6" t="s">
        <v>1108</v>
      </c>
      <c r="I894" s="6" t="s">
        <v>1113</v>
      </c>
    </row>
    <row r="895" spans="1:9">
      <c r="A895" s="4">
        <v>1</v>
      </c>
      <c r="B895" s="5" t="s">
        <v>982</v>
      </c>
      <c r="C895" s="6">
        <v>1699</v>
      </c>
      <c r="D895" s="7">
        <v>1</v>
      </c>
      <c r="E895">
        <v>1.9E-3</v>
      </c>
      <c r="F895" s="1">
        <v>201</v>
      </c>
      <c r="G895" s="1" t="str">
        <f>VLOOKUP(F895,'Master(Ko Xóa)'!$F$2:$H$158,3,0)</f>
        <v>Out</v>
      </c>
      <c r="H895" s="6" t="s">
        <v>1108</v>
      </c>
      <c r="I895" s="6" t="s">
        <v>1113</v>
      </c>
    </row>
    <row r="896" spans="1:9">
      <c r="A896" s="4">
        <v>1</v>
      </c>
      <c r="B896" s="5" t="s">
        <v>983</v>
      </c>
      <c r="C896" s="6">
        <v>1699</v>
      </c>
      <c r="D896" s="7">
        <v>1</v>
      </c>
      <c r="E896">
        <v>4.0999999999999995E-3</v>
      </c>
      <c r="F896" s="1">
        <v>201</v>
      </c>
      <c r="G896" s="1" t="str">
        <f>VLOOKUP(F896,'Master(Ko Xóa)'!$F$2:$H$158,3,0)</f>
        <v>Out</v>
      </c>
      <c r="H896" s="6" t="s">
        <v>1108</v>
      </c>
      <c r="I896" s="6" t="s">
        <v>1113</v>
      </c>
    </row>
    <row r="897" spans="1:9">
      <c r="A897" s="4">
        <v>1</v>
      </c>
      <c r="B897" s="5" t="s">
        <v>984</v>
      </c>
      <c r="C897" s="6">
        <v>1699</v>
      </c>
      <c r="D897" s="7">
        <v>1</v>
      </c>
      <c r="E897">
        <v>7.3000000000000001E-3</v>
      </c>
      <c r="F897" s="1">
        <v>201</v>
      </c>
      <c r="G897" s="1" t="str">
        <f>VLOOKUP(F897,'Master(Ko Xóa)'!$F$2:$H$158,3,0)</f>
        <v>Out</v>
      </c>
      <c r="H897" s="6" t="s">
        <v>1108</v>
      </c>
      <c r="I897" s="6" t="s">
        <v>1113</v>
      </c>
    </row>
    <row r="898" spans="1:9">
      <c r="A898" s="4">
        <v>1</v>
      </c>
      <c r="B898" s="5" t="s">
        <v>985</v>
      </c>
      <c r="C898" s="6">
        <v>1699</v>
      </c>
      <c r="D898" s="7">
        <v>1</v>
      </c>
      <c r="E898">
        <v>7.7999999999999996E-3</v>
      </c>
      <c r="F898" s="1">
        <v>201</v>
      </c>
      <c r="G898" s="1" t="str">
        <f>VLOOKUP(F898,'Master(Ko Xóa)'!$F$2:$H$158,3,0)</f>
        <v>Out</v>
      </c>
      <c r="H898" s="6" t="s">
        <v>1108</v>
      </c>
      <c r="I898" s="6" t="s">
        <v>1113</v>
      </c>
    </row>
    <row r="899" spans="1:9">
      <c r="A899" s="4">
        <v>1</v>
      </c>
      <c r="B899" s="5" t="s">
        <v>986</v>
      </c>
      <c r="C899" s="6">
        <v>1699</v>
      </c>
      <c r="D899" s="7">
        <v>1</v>
      </c>
      <c r="E899">
        <v>7.7999999999999996E-3</v>
      </c>
      <c r="F899" s="1">
        <v>201</v>
      </c>
      <c r="G899" s="1" t="str">
        <f>VLOOKUP(F899,'Master(Ko Xóa)'!$F$2:$H$158,3,0)</f>
        <v>Out</v>
      </c>
      <c r="H899" s="6" t="s">
        <v>1108</v>
      </c>
      <c r="I899" s="6" t="s">
        <v>1113</v>
      </c>
    </row>
    <row r="900" spans="1:9">
      <c r="A900" s="4">
        <v>1</v>
      </c>
      <c r="B900" s="5" t="s">
        <v>987</v>
      </c>
      <c r="C900" s="6">
        <v>1699</v>
      </c>
      <c r="D900" s="7">
        <v>1</v>
      </c>
      <c r="E900">
        <v>9.6999999999999986E-3</v>
      </c>
      <c r="F900" s="1">
        <v>201</v>
      </c>
      <c r="G900" s="1" t="str">
        <f>VLOOKUP(F900,'Master(Ko Xóa)'!$F$2:$H$158,3,0)</f>
        <v>Out</v>
      </c>
      <c r="H900" s="6" t="s">
        <v>1108</v>
      </c>
      <c r="I900" s="6" t="s">
        <v>1113</v>
      </c>
    </row>
    <row r="901" spans="1:9">
      <c r="A901" s="4">
        <v>1</v>
      </c>
      <c r="B901" s="5" t="s">
        <v>988</v>
      </c>
      <c r="C901" s="6">
        <v>1699</v>
      </c>
      <c r="D901" s="7">
        <v>1</v>
      </c>
      <c r="E901">
        <v>1.7500000000000002E-2</v>
      </c>
      <c r="F901" s="1">
        <v>201</v>
      </c>
      <c r="G901" s="1" t="str">
        <f>VLOOKUP(F901,'Master(Ko Xóa)'!$F$2:$H$158,3,0)</f>
        <v>Out</v>
      </c>
      <c r="H901" s="6" t="s">
        <v>1108</v>
      </c>
      <c r="I901" s="6" t="s">
        <v>1113</v>
      </c>
    </row>
    <row r="902" spans="1:9">
      <c r="A902" s="4">
        <v>1</v>
      </c>
      <c r="B902" s="5" t="s">
        <v>989</v>
      </c>
      <c r="C902" s="6">
        <v>1699</v>
      </c>
      <c r="D902" s="7">
        <v>1</v>
      </c>
      <c r="E902">
        <v>1.14E-2</v>
      </c>
      <c r="F902" s="1">
        <v>201</v>
      </c>
      <c r="G902" s="1" t="str">
        <f>VLOOKUP(F902,'Master(Ko Xóa)'!$F$2:$H$158,3,0)</f>
        <v>Out</v>
      </c>
      <c r="H902" s="6" t="s">
        <v>1108</v>
      </c>
      <c r="I902" s="6" t="s">
        <v>1113</v>
      </c>
    </row>
    <row r="903" spans="1:9">
      <c r="A903" s="4">
        <v>1</v>
      </c>
      <c r="B903" s="5" t="s">
        <v>990</v>
      </c>
      <c r="C903" s="6">
        <v>1699</v>
      </c>
      <c r="D903" s="7">
        <v>10</v>
      </c>
      <c r="E903">
        <v>4.3499999999999997E-2</v>
      </c>
      <c r="F903" s="1">
        <v>201</v>
      </c>
      <c r="G903" s="1" t="str">
        <f>VLOOKUP(F903,'Master(Ko Xóa)'!$F$2:$H$158,3,0)</f>
        <v>Out</v>
      </c>
      <c r="H903" s="6" t="s">
        <v>1108</v>
      </c>
      <c r="I903" s="6" t="s">
        <v>1114</v>
      </c>
    </row>
    <row r="904" spans="1:9">
      <c r="A904" s="4">
        <v>1</v>
      </c>
      <c r="B904" s="5" t="s">
        <v>991</v>
      </c>
      <c r="C904" s="6">
        <v>1699</v>
      </c>
      <c r="D904" s="7">
        <v>20</v>
      </c>
      <c r="E904">
        <v>0.04</v>
      </c>
      <c r="F904" s="1">
        <v>201</v>
      </c>
      <c r="G904" s="1" t="str">
        <f>VLOOKUP(F904,'Master(Ko Xóa)'!$F$2:$H$158,3,0)</f>
        <v>Out</v>
      </c>
      <c r="H904" s="6" t="s">
        <v>1108</v>
      </c>
      <c r="I904" s="6" t="s">
        <v>1114</v>
      </c>
    </row>
    <row r="905" spans="1:9">
      <c r="A905" s="4">
        <v>1</v>
      </c>
      <c r="B905" s="5" t="s">
        <v>992</v>
      </c>
      <c r="C905" s="6">
        <v>1699</v>
      </c>
      <c r="D905" s="7">
        <v>10</v>
      </c>
      <c r="E905">
        <v>0.2621</v>
      </c>
      <c r="F905" s="1">
        <v>201</v>
      </c>
      <c r="G905" s="1" t="str">
        <f>VLOOKUP(F905,'Master(Ko Xóa)'!$F$2:$H$158,3,0)</f>
        <v>Out</v>
      </c>
      <c r="H905" s="6" t="s">
        <v>1108</v>
      </c>
      <c r="I905" s="6" t="s">
        <v>1114</v>
      </c>
    </row>
    <row r="906" spans="1:9">
      <c r="A906" s="4">
        <v>1</v>
      </c>
      <c r="B906" s="5" t="s">
        <v>993</v>
      </c>
      <c r="C906" s="6">
        <v>1699</v>
      </c>
      <c r="D906" s="7">
        <v>1</v>
      </c>
      <c r="E906">
        <v>0.4874</v>
      </c>
      <c r="F906" s="1">
        <v>201</v>
      </c>
      <c r="G906" s="1" t="str">
        <f>VLOOKUP(F906,'Master(Ko Xóa)'!$F$2:$H$158,3,0)</f>
        <v>Out</v>
      </c>
      <c r="H906" s="6" t="s">
        <v>1108</v>
      </c>
      <c r="I906" s="6" t="s">
        <v>1114</v>
      </c>
    </row>
    <row r="907" spans="1:9">
      <c r="A907" s="4">
        <v>1</v>
      </c>
      <c r="B907" s="5" t="s">
        <v>994</v>
      </c>
      <c r="C907" s="6">
        <v>1699</v>
      </c>
      <c r="D907" s="7">
        <v>5</v>
      </c>
      <c r="E907">
        <v>0.67485000000000006</v>
      </c>
      <c r="F907" s="1">
        <v>201</v>
      </c>
      <c r="G907" s="1" t="str">
        <f>VLOOKUP(F907,'Master(Ko Xóa)'!$F$2:$H$158,3,0)</f>
        <v>Out</v>
      </c>
      <c r="H907" s="6" t="s">
        <v>1108</v>
      </c>
      <c r="I907" s="6" t="s">
        <v>1114</v>
      </c>
    </row>
    <row r="908" spans="1:9">
      <c r="A908" s="4">
        <v>1</v>
      </c>
      <c r="B908" s="5" t="s">
        <v>995</v>
      </c>
      <c r="C908" s="6">
        <v>1699</v>
      </c>
      <c r="D908" s="7">
        <v>4</v>
      </c>
      <c r="E908">
        <v>0.50136000000000003</v>
      </c>
      <c r="F908" s="1">
        <v>201</v>
      </c>
      <c r="G908" s="1" t="str">
        <f>VLOOKUP(F908,'Master(Ko Xóa)'!$F$2:$H$158,3,0)</f>
        <v>Out</v>
      </c>
      <c r="H908" s="6" t="s">
        <v>1108</v>
      </c>
      <c r="I908" s="6" t="s">
        <v>1114</v>
      </c>
    </row>
    <row r="909" spans="1:9">
      <c r="A909" s="4">
        <v>1</v>
      </c>
      <c r="B909" s="5" t="s">
        <v>996</v>
      </c>
      <c r="C909" s="6">
        <v>1699</v>
      </c>
      <c r="D909" s="7">
        <v>1</v>
      </c>
      <c r="E909">
        <v>0.02</v>
      </c>
      <c r="F909" s="1">
        <v>201</v>
      </c>
      <c r="G909" s="1" t="str">
        <f>VLOOKUP(F909,'Master(Ko Xóa)'!$F$2:$H$158,3,0)</f>
        <v>Out</v>
      </c>
      <c r="H909" s="6" t="s">
        <v>1108</v>
      </c>
      <c r="I909" s="6" t="s">
        <v>1114</v>
      </c>
    </row>
    <row r="910" spans="1:9">
      <c r="A910" s="4">
        <v>1</v>
      </c>
      <c r="B910" s="5" t="s">
        <v>997</v>
      </c>
      <c r="C910" s="6">
        <v>1699</v>
      </c>
      <c r="D910" s="7">
        <v>1</v>
      </c>
      <c r="E910">
        <v>0.23499999999999999</v>
      </c>
      <c r="F910" s="1">
        <v>201</v>
      </c>
      <c r="G910" s="1" t="str">
        <f>VLOOKUP(F910,'Master(Ko Xóa)'!$F$2:$H$158,3,0)</f>
        <v>Out</v>
      </c>
      <c r="H910" s="6" t="s">
        <v>1108</v>
      </c>
      <c r="I910" s="6" t="s">
        <v>1114</v>
      </c>
    </row>
    <row r="911" spans="1:9">
      <c r="A911" s="4">
        <v>1</v>
      </c>
      <c r="B911" s="5" t="s">
        <v>998</v>
      </c>
      <c r="C911" s="6">
        <v>1699</v>
      </c>
      <c r="D911" s="7">
        <v>1</v>
      </c>
      <c r="E911">
        <v>0.1792</v>
      </c>
      <c r="F911" s="1">
        <v>201</v>
      </c>
      <c r="G911" s="1" t="str">
        <f>VLOOKUP(F911,'Master(Ko Xóa)'!$F$2:$H$158,3,0)</f>
        <v>Out</v>
      </c>
      <c r="H911" s="6" t="s">
        <v>1108</v>
      </c>
      <c r="I911" s="6" t="s">
        <v>1114</v>
      </c>
    </row>
    <row r="912" spans="1:9">
      <c r="A912" s="4">
        <v>1</v>
      </c>
      <c r="B912" s="5" t="s">
        <v>999</v>
      </c>
      <c r="C912" s="6">
        <v>1699</v>
      </c>
      <c r="D912" s="7">
        <v>1</v>
      </c>
      <c r="E912">
        <v>3.8600000000000002E-2</v>
      </c>
      <c r="F912" s="1">
        <v>201</v>
      </c>
      <c r="G912" s="1" t="str">
        <f>VLOOKUP(F912,'Master(Ko Xóa)'!$F$2:$H$158,3,0)</f>
        <v>Out</v>
      </c>
      <c r="H912" s="6" t="s">
        <v>1108</v>
      </c>
      <c r="I912" s="6" t="s">
        <v>1114</v>
      </c>
    </row>
    <row r="913" spans="1:9">
      <c r="A913" s="4">
        <v>1</v>
      </c>
      <c r="B913" s="5" t="s">
        <v>1000</v>
      </c>
      <c r="C913" s="6">
        <v>1699</v>
      </c>
      <c r="D913" s="7">
        <v>9</v>
      </c>
      <c r="E913">
        <v>1.2069000000000001</v>
      </c>
      <c r="F913" s="1">
        <v>201</v>
      </c>
      <c r="G913" s="1" t="str">
        <f>VLOOKUP(F913,'Master(Ko Xóa)'!$F$2:$H$158,3,0)</f>
        <v>Out</v>
      </c>
      <c r="H913" s="6" t="s">
        <v>1108</v>
      </c>
      <c r="I913" s="6" t="s">
        <v>1114</v>
      </c>
    </row>
    <row r="914" spans="1:9">
      <c r="A914" s="4">
        <v>1</v>
      </c>
      <c r="B914" s="5" t="s">
        <v>1001</v>
      </c>
      <c r="C914" s="6">
        <v>1699</v>
      </c>
      <c r="D914" s="7">
        <v>2</v>
      </c>
      <c r="E914">
        <v>2.1859999999999999</v>
      </c>
      <c r="F914" s="1">
        <v>201</v>
      </c>
      <c r="G914" s="1" t="str">
        <f>VLOOKUP(F914,'Master(Ko Xóa)'!$F$2:$H$158,3,0)</f>
        <v>Out</v>
      </c>
      <c r="H914" s="6" t="s">
        <v>1108</v>
      </c>
      <c r="I914" s="6" t="s">
        <v>1114</v>
      </c>
    </row>
    <row r="915" spans="1:9">
      <c r="A915" s="4">
        <v>1</v>
      </c>
      <c r="B915" s="5" t="s">
        <v>1002</v>
      </c>
      <c r="C915" s="6">
        <v>1699</v>
      </c>
      <c r="D915" s="7">
        <v>2</v>
      </c>
      <c r="E915">
        <v>2.0179999999999998</v>
      </c>
      <c r="F915" s="1">
        <v>201</v>
      </c>
      <c r="G915" s="1" t="str">
        <f>VLOOKUP(F915,'Master(Ko Xóa)'!$F$2:$H$158,3,0)</f>
        <v>Out</v>
      </c>
      <c r="H915" s="6" t="s">
        <v>1108</v>
      </c>
      <c r="I915" s="6" t="s">
        <v>1114</v>
      </c>
    </row>
    <row r="916" spans="1:9">
      <c r="A916" s="4">
        <v>1</v>
      </c>
      <c r="B916" s="5" t="s">
        <v>1003</v>
      </c>
      <c r="C916" s="6">
        <v>1699</v>
      </c>
      <c r="D916" s="7">
        <v>1</v>
      </c>
      <c r="E916">
        <v>0.02</v>
      </c>
      <c r="F916" s="1">
        <v>201</v>
      </c>
      <c r="G916" s="1" t="str">
        <f>VLOOKUP(F916,'Master(Ko Xóa)'!$F$2:$H$158,3,0)</f>
        <v>Out</v>
      </c>
      <c r="H916" s="6" t="s">
        <v>1108</v>
      </c>
      <c r="I916" s="6" t="s">
        <v>1114</v>
      </c>
    </row>
    <row r="917" spans="1:9">
      <c r="A917" s="4">
        <v>1</v>
      </c>
      <c r="B917" s="5" t="s">
        <v>1004</v>
      </c>
      <c r="C917" s="6">
        <v>1699</v>
      </c>
      <c r="D917" s="7">
        <v>1</v>
      </c>
      <c r="E917">
        <v>0.60199999999999998</v>
      </c>
      <c r="F917" s="1">
        <v>201</v>
      </c>
      <c r="G917" s="1" t="str">
        <f>VLOOKUP(F917,'Master(Ko Xóa)'!$F$2:$H$158,3,0)</f>
        <v>Out</v>
      </c>
      <c r="H917" s="6" t="s">
        <v>1108</v>
      </c>
      <c r="I917" s="6" t="s">
        <v>1114</v>
      </c>
    </row>
    <row r="918" spans="1:9">
      <c r="A918" s="4">
        <v>1</v>
      </c>
      <c r="B918" s="5" t="s">
        <v>1005</v>
      </c>
      <c r="C918" s="6">
        <v>1699</v>
      </c>
      <c r="D918" s="7">
        <v>1</v>
      </c>
      <c r="E918">
        <v>0.52</v>
      </c>
      <c r="F918" s="1">
        <v>201</v>
      </c>
      <c r="G918" s="1" t="str">
        <f>VLOOKUP(F918,'Master(Ko Xóa)'!$F$2:$H$158,3,0)</f>
        <v>Out</v>
      </c>
      <c r="H918" s="6" t="s">
        <v>1108</v>
      </c>
      <c r="I918" s="6" t="s">
        <v>1114</v>
      </c>
    </row>
    <row r="919" spans="1:9">
      <c r="A919" s="4">
        <v>1</v>
      </c>
      <c r="B919" s="5" t="s">
        <v>1006</v>
      </c>
      <c r="C919" s="6">
        <v>1699</v>
      </c>
      <c r="D919" s="7">
        <v>1</v>
      </c>
      <c r="E919">
        <v>0.626</v>
      </c>
      <c r="F919" s="1">
        <v>201</v>
      </c>
      <c r="G919" s="1" t="str">
        <f>VLOOKUP(F919,'Master(Ko Xóa)'!$F$2:$H$158,3,0)</f>
        <v>Out</v>
      </c>
      <c r="H919" s="6" t="s">
        <v>1108</v>
      </c>
      <c r="I919" s="6" t="s">
        <v>1114</v>
      </c>
    </row>
    <row r="920" spans="1:9">
      <c r="A920" s="4">
        <v>1</v>
      </c>
      <c r="B920" s="5" t="s">
        <v>1007</v>
      </c>
      <c r="C920" s="6">
        <v>1699</v>
      </c>
      <c r="D920" s="7">
        <v>1</v>
      </c>
      <c r="E920">
        <v>0.36945999999999996</v>
      </c>
      <c r="F920" s="1">
        <v>201</v>
      </c>
      <c r="G920" s="1" t="str">
        <f>VLOOKUP(F920,'Master(Ko Xóa)'!$F$2:$H$158,3,0)</f>
        <v>Out</v>
      </c>
      <c r="H920" s="6" t="s">
        <v>1108</v>
      </c>
      <c r="I920" s="6" t="s">
        <v>1114</v>
      </c>
    </row>
    <row r="921" spans="1:9">
      <c r="A921" s="4">
        <v>1</v>
      </c>
      <c r="B921" s="5" t="s">
        <v>1008</v>
      </c>
      <c r="C921" s="6">
        <v>1699</v>
      </c>
      <c r="D921" s="7">
        <v>1</v>
      </c>
      <c r="E921">
        <v>0.61499999999999999</v>
      </c>
      <c r="F921" s="1">
        <v>201</v>
      </c>
      <c r="G921" s="1" t="str">
        <f>VLOOKUP(F921,'Master(Ko Xóa)'!$F$2:$H$158,3,0)</f>
        <v>Out</v>
      </c>
      <c r="H921" s="6" t="s">
        <v>1108</v>
      </c>
      <c r="I921" s="6" t="s">
        <v>1114</v>
      </c>
    </row>
    <row r="922" spans="1:9">
      <c r="A922" s="4">
        <v>1</v>
      </c>
      <c r="B922" s="5" t="s">
        <v>1009</v>
      </c>
      <c r="C922" s="6">
        <v>1699</v>
      </c>
      <c r="D922" s="7">
        <v>1</v>
      </c>
      <c r="E922">
        <v>0.61499999999999999</v>
      </c>
      <c r="F922" s="1">
        <v>201</v>
      </c>
      <c r="G922" s="1" t="str">
        <f>VLOOKUP(F922,'Master(Ko Xóa)'!$F$2:$H$158,3,0)</f>
        <v>Out</v>
      </c>
      <c r="H922" s="6" t="s">
        <v>1108</v>
      </c>
      <c r="I922" s="6" t="s">
        <v>1114</v>
      </c>
    </row>
    <row r="923" spans="1:9">
      <c r="A923" s="4">
        <v>1</v>
      </c>
      <c r="B923" s="5" t="s">
        <v>1010</v>
      </c>
      <c r="C923" s="6">
        <v>1699</v>
      </c>
      <c r="D923" s="7">
        <v>1</v>
      </c>
      <c r="E923">
        <v>0.18130000000000002</v>
      </c>
      <c r="F923" s="1">
        <v>201</v>
      </c>
      <c r="G923" s="1" t="str">
        <f>VLOOKUP(F923,'Master(Ko Xóa)'!$F$2:$H$158,3,0)</f>
        <v>Out</v>
      </c>
      <c r="H923" s="6" t="s">
        <v>1108</v>
      </c>
      <c r="I923" s="6" t="s">
        <v>1114</v>
      </c>
    </row>
    <row r="924" spans="1:9">
      <c r="A924" s="4">
        <v>1</v>
      </c>
      <c r="B924" s="5" t="s">
        <v>1011</v>
      </c>
      <c r="C924" s="6">
        <v>1699</v>
      </c>
      <c r="D924" s="7">
        <v>1</v>
      </c>
      <c r="E924">
        <v>0.1162</v>
      </c>
      <c r="F924" s="1">
        <v>201</v>
      </c>
      <c r="G924" s="1" t="str">
        <f>VLOOKUP(F924,'Master(Ko Xóa)'!$F$2:$H$158,3,0)</f>
        <v>Out</v>
      </c>
      <c r="H924" s="6" t="s">
        <v>1108</v>
      </c>
      <c r="I924" s="6" t="s">
        <v>1114</v>
      </c>
    </row>
    <row r="925" spans="1:9">
      <c r="A925" s="4">
        <v>1</v>
      </c>
      <c r="B925" s="5" t="s">
        <v>1012</v>
      </c>
      <c r="C925" s="6">
        <v>1699</v>
      </c>
      <c r="D925" s="7">
        <v>1</v>
      </c>
      <c r="E925">
        <v>0.1162</v>
      </c>
      <c r="F925" s="1">
        <v>201</v>
      </c>
      <c r="G925" s="1" t="str">
        <f>VLOOKUP(F925,'Master(Ko Xóa)'!$F$2:$H$158,3,0)</f>
        <v>Out</v>
      </c>
      <c r="H925" s="6" t="s">
        <v>1108</v>
      </c>
      <c r="I925" s="6" t="s">
        <v>1114</v>
      </c>
    </row>
    <row r="926" spans="1:9">
      <c r="A926" s="4">
        <v>1</v>
      </c>
      <c r="B926" s="5" t="s">
        <v>1013</v>
      </c>
      <c r="C926" s="6">
        <v>1699</v>
      </c>
      <c r="D926" s="7">
        <v>1</v>
      </c>
      <c r="E926">
        <v>0.10343000000000001</v>
      </c>
      <c r="F926" s="1">
        <v>201</v>
      </c>
      <c r="G926" s="1" t="str">
        <f>VLOOKUP(F926,'Master(Ko Xóa)'!$F$2:$H$158,3,0)</f>
        <v>Out</v>
      </c>
      <c r="H926" s="6" t="s">
        <v>1108</v>
      </c>
      <c r="I926" s="6" t="s">
        <v>1114</v>
      </c>
    </row>
    <row r="927" spans="1:9">
      <c r="A927" s="4">
        <v>1</v>
      </c>
      <c r="B927" s="5" t="s">
        <v>1014</v>
      </c>
      <c r="C927" s="6">
        <v>1699</v>
      </c>
      <c r="D927" s="7">
        <v>1</v>
      </c>
      <c r="E927">
        <v>8.4680000000000005E-2</v>
      </c>
      <c r="F927" s="1">
        <v>201</v>
      </c>
      <c r="G927" s="1" t="str">
        <f>VLOOKUP(F927,'Master(Ko Xóa)'!$F$2:$H$158,3,0)</f>
        <v>Out</v>
      </c>
      <c r="H927" s="6" t="s">
        <v>1108</v>
      </c>
      <c r="I927" s="6" t="s">
        <v>1114</v>
      </c>
    </row>
    <row r="928" spans="1:9">
      <c r="A928" s="4">
        <v>1</v>
      </c>
      <c r="B928" s="5" t="s">
        <v>1015</v>
      </c>
      <c r="C928" s="6">
        <v>1699</v>
      </c>
      <c r="D928" s="7">
        <v>1</v>
      </c>
      <c r="E928">
        <v>0.22009999999999999</v>
      </c>
      <c r="F928" s="1">
        <v>201</v>
      </c>
      <c r="G928" s="1" t="str">
        <f>VLOOKUP(F928,'Master(Ko Xóa)'!$F$2:$H$158,3,0)</f>
        <v>Out</v>
      </c>
      <c r="H928" s="6" t="s">
        <v>1108</v>
      </c>
      <c r="I928" s="6" t="s">
        <v>1114</v>
      </c>
    </row>
    <row r="929" spans="1:9">
      <c r="A929" s="4">
        <v>1</v>
      </c>
      <c r="B929" s="5" t="s">
        <v>1016</v>
      </c>
      <c r="C929" s="6">
        <v>1699</v>
      </c>
      <c r="D929" s="7">
        <v>1</v>
      </c>
      <c r="E929">
        <v>0.28699999999999998</v>
      </c>
      <c r="F929" s="1">
        <v>201</v>
      </c>
      <c r="G929" s="1" t="str">
        <f>VLOOKUP(F929,'Master(Ko Xóa)'!$F$2:$H$158,3,0)</f>
        <v>Out</v>
      </c>
      <c r="H929" s="6" t="s">
        <v>1108</v>
      </c>
      <c r="I929" s="6" t="s">
        <v>1114</v>
      </c>
    </row>
    <row r="930" spans="1:9">
      <c r="A930" s="4">
        <v>1</v>
      </c>
      <c r="B930" s="5" t="s">
        <v>1017</v>
      </c>
      <c r="C930" s="6">
        <v>8699</v>
      </c>
      <c r="D930" s="7">
        <v>1</v>
      </c>
      <c r="E930">
        <v>0.59939999999999993</v>
      </c>
      <c r="F930" s="1">
        <v>201</v>
      </c>
      <c r="G930" s="1" t="str">
        <f>VLOOKUP(F930,'Master(Ko Xóa)'!$F$2:$H$158,3,0)</f>
        <v>Out</v>
      </c>
      <c r="H930" s="6" t="s">
        <v>13</v>
      </c>
      <c r="I930" s="6" t="s">
        <v>1115</v>
      </c>
    </row>
    <row r="931" spans="1:9">
      <c r="A931" s="4">
        <v>1</v>
      </c>
      <c r="B931" s="5" t="s">
        <v>1018</v>
      </c>
      <c r="C931" s="6">
        <v>8699</v>
      </c>
      <c r="D931" s="7">
        <v>1</v>
      </c>
      <c r="E931">
        <v>3.5200000000000002E-2</v>
      </c>
      <c r="F931" s="1">
        <v>201</v>
      </c>
      <c r="G931" s="1" t="str">
        <f>VLOOKUP(F931,'Master(Ko Xóa)'!$F$2:$H$158,3,0)</f>
        <v>Out</v>
      </c>
      <c r="H931" s="6" t="s">
        <v>13</v>
      </c>
      <c r="I931" s="6" t="s">
        <v>1115</v>
      </c>
    </row>
    <row r="932" spans="1:9">
      <c r="A932" s="4">
        <v>1</v>
      </c>
      <c r="B932" s="5" t="s">
        <v>1019</v>
      </c>
      <c r="C932" s="6">
        <v>8699</v>
      </c>
      <c r="D932" s="7">
        <v>1</v>
      </c>
      <c r="E932">
        <v>7.43E-3</v>
      </c>
      <c r="F932" s="1">
        <v>201</v>
      </c>
      <c r="G932" s="1" t="str">
        <f>VLOOKUP(F932,'Master(Ko Xóa)'!$F$2:$H$158,3,0)</f>
        <v>Out</v>
      </c>
      <c r="H932" s="6" t="s">
        <v>13</v>
      </c>
      <c r="I932" s="6" t="s">
        <v>1115</v>
      </c>
    </row>
    <row r="933" spans="1:9">
      <c r="A933" s="4">
        <v>1</v>
      </c>
      <c r="B933" s="5" t="s">
        <v>1020</v>
      </c>
      <c r="C933" s="6">
        <v>8699</v>
      </c>
      <c r="D933" s="7">
        <v>1</v>
      </c>
      <c r="E933">
        <v>0.29763000000000001</v>
      </c>
      <c r="F933" s="1">
        <v>201</v>
      </c>
      <c r="G933" s="1" t="str">
        <f>VLOOKUP(F933,'Master(Ko Xóa)'!$F$2:$H$158,3,0)</f>
        <v>Out</v>
      </c>
      <c r="H933" s="6" t="s">
        <v>13</v>
      </c>
      <c r="I933" s="6" t="s">
        <v>1115</v>
      </c>
    </row>
    <row r="934" spans="1:9">
      <c r="A934" s="4">
        <v>1</v>
      </c>
      <c r="B934" s="5" t="s">
        <v>1021</v>
      </c>
      <c r="C934" s="6">
        <v>8699</v>
      </c>
      <c r="D934" s="7">
        <v>1</v>
      </c>
      <c r="E934">
        <v>0.11899999999999999</v>
      </c>
      <c r="F934" s="1">
        <v>201</v>
      </c>
      <c r="G934" s="1" t="str">
        <f>VLOOKUP(F934,'Master(Ko Xóa)'!$F$2:$H$158,3,0)</f>
        <v>Out</v>
      </c>
      <c r="H934" s="6" t="s">
        <v>13</v>
      </c>
      <c r="I934" s="6" t="s">
        <v>1115</v>
      </c>
    </row>
    <row r="935" spans="1:9">
      <c r="A935" s="4">
        <v>1</v>
      </c>
      <c r="B935" s="5" t="s">
        <v>1022</v>
      </c>
      <c r="C935" s="6">
        <v>8699</v>
      </c>
      <c r="D935" s="7">
        <v>60</v>
      </c>
      <c r="E935">
        <v>3.6659999999999999</v>
      </c>
      <c r="F935" s="1">
        <v>201</v>
      </c>
      <c r="G935" s="1" t="str">
        <f>VLOOKUP(F935,'Master(Ko Xóa)'!$F$2:$H$158,3,0)</f>
        <v>Out</v>
      </c>
      <c r="H935" s="6" t="s">
        <v>13</v>
      </c>
      <c r="I935" s="6" t="s">
        <v>1115</v>
      </c>
    </row>
    <row r="936" spans="1:9">
      <c r="A936" s="4">
        <v>1</v>
      </c>
      <c r="B936" s="5" t="s">
        <v>1023</v>
      </c>
      <c r="C936" s="6">
        <v>8699</v>
      </c>
      <c r="D936" s="7">
        <v>72</v>
      </c>
      <c r="E936">
        <v>4.32</v>
      </c>
      <c r="F936" s="1">
        <v>201</v>
      </c>
      <c r="G936" s="1" t="str">
        <f>VLOOKUP(F936,'Master(Ko Xóa)'!$F$2:$H$158,3,0)</f>
        <v>Out</v>
      </c>
      <c r="H936" s="6" t="s">
        <v>13</v>
      </c>
      <c r="I936" s="6" t="s">
        <v>1115</v>
      </c>
    </row>
    <row r="937" spans="1:9">
      <c r="A937" s="4">
        <v>1</v>
      </c>
      <c r="B937" s="5" t="s">
        <v>1024</v>
      </c>
      <c r="C937" s="6">
        <v>8699</v>
      </c>
      <c r="D937" s="7">
        <v>1</v>
      </c>
      <c r="E937">
        <v>3.9235000000000002</v>
      </c>
      <c r="F937" s="1">
        <v>201</v>
      </c>
      <c r="G937" s="1" t="str">
        <f>VLOOKUP(F937,'Master(Ko Xóa)'!$F$2:$H$158,3,0)</f>
        <v>Out</v>
      </c>
      <c r="H937" s="6" t="s">
        <v>13</v>
      </c>
      <c r="I937" s="6" t="s">
        <v>1115</v>
      </c>
    </row>
    <row r="938" spans="1:9">
      <c r="A938" s="4">
        <v>1</v>
      </c>
      <c r="B938" s="5" t="s">
        <v>1025</v>
      </c>
      <c r="C938" s="6">
        <v>8699</v>
      </c>
      <c r="D938" s="7">
        <v>1</v>
      </c>
      <c r="E938">
        <v>3.2909999999999999</v>
      </c>
      <c r="F938" s="1">
        <v>201</v>
      </c>
      <c r="G938" s="1" t="str">
        <f>VLOOKUP(F938,'Master(Ko Xóa)'!$F$2:$H$158,3,0)</f>
        <v>Out</v>
      </c>
      <c r="H938" s="6" t="s">
        <v>13</v>
      </c>
      <c r="I938" s="6" t="s">
        <v>1115</v>
      </c>
    </row>
    <row r="939" spans="1:9">
      <c r="A939" s="4">
        <v>1</v>
      </c>
      <c r="B939" s="5" t="s">
        <v>1026</v>
      </c>
      <c r="C939" s="6">
        <v>8699</v>
      </c>
      <c r="D939" s="7">
        <v>1</v>
      </c>
      <c r="E939">
        <v>3.5271999999999997</v>
      </c>
      <c r="F939" s="1">
        <v>201</v>
      </c>
      <c r="G939" s="1" t="str">
        <f>VLOOKUP(F939,'Master(Ko Xóa)'!$F$2:$H$158,3,0)</f>
        <v>Out</v>
      </c>
      <c r="H939" s="6" t="s">
        <v>13</v>
      </c>
      <c r="I939" s="6" t="s">
        <v>1115</v>
      </c>
    </row>
    <row r="940" spans="1:9">
      <c r="A940" s="4">
        <v>1</v>
      </c>
      <c r="B940" s="5" t="s">
        <v>1027</v>
      </c>
      <c r="C940" s="6">
        <v>8699</v>
      </c>
      <c r="D940" s="7">
        <v>1</v>
      </c>
      <c r="E940">
        <v>2.3205999999999998</v>
      </c>
      <c r="F940" s="1">
        <v>201</v>
      </c>
      <c r="G940" s="1" t="str">
        <f>VLOOKUP(F940,'Master(Ko Xóa)'!$F$2:$H$158,3,0)</f>
        <v>Out</v>
      </c>
      <c r="H940" s="6" t="s">
        <v>13</v>
      </c>
      <c r="I940" s="6" t="s">
        <v>1115</v>
      </c>
    </row>
    <row r="941" spans="1:9">
      <c r="A941" s="4">
        <v>1</v>
      </c>
      <c r="B941" s="5" t="s">
        <v>1028</v>
      </c>
      <c r="C941" s="6">
        <v>8699</v>
      </c>
      <c r="D941" s="7">
        <v>2</v>
      </c>
      <c r="E941">
        <v>13.997</v>
      </c>
      <c r="F941" s="1">
        <v>201</v>
      </c>
      <c r="G941" s="1" t="str">
        <f>VLOOKUP(F941,'Master(Ko Xóa)'!$F$2:$H$158,3,0)</f>
        <v>Out</v>
      </c>
      <c r="H941" s="6" t="s">
        <v>13</v>
      </c>
      <c r="I941" s="6" t="s">
        <v>1115</v>
      </c>
    </row>
    <row r="942" spans="1:9">
      <c r="A942" s="4">
        <v>1</v>
      </c>
      <c r="B942" s="5" t="s">
        <v>1029</v>
      </c>
      <c r="C942" s="6">
        <v>8699</v>
      </c>
      <c r="D942" s="7">
        <v>1</v>
      </c>
      <c r="E942">
        <v>4.2999999999999997E-2</v>
      </c>
      <c r="F942" s="1">
        <v>201</v>
      </c>
      <c r="G942" s="1" t="str">
        <f>VLOOKUP(F942,'Master(Ko Xóa)'!$F$2:$H$158,3,0)</f>
        <v>Out</v>
      </c>
      <c r="H942" s="6" t="s">
        <v>13</v>
      </c>
      <c r="I942" s="6" t="s">
        <v>1115</v>
      </c>
    </row>
    <row r="943" spans="1:9">
      <c r="A943" s="4">
        <v>1</v>
      </c>
      <c r="B943" s="5" t="s">
        <v>1030</v>
      </c>
      <c r="C943" s="6">
        <v>8699</v>
      </c>
      <c r="D943" s="7">
        <v>1</v>
      </c>
      <c r="E943">
        <v>0.11087999999999999</v>
      </c>
      <c r="F943" s="1">
        <v>201</v>
      </c>
      <c r="G943" s="1" t="str">
        <f>VLOOKUP(F943,'Master(Ko Xóa)'!$F$2:$H$158,3,0)</f>
        <v>Out</v>
      </c>
      <c r="H943" s="6" t="s">
        <v>13</v>
      </c>
      <c r="I943" s="6" t="s">
        <v>1115</v>
      </c>
    </row>
    <row r="944" spans="1:9">
      <c r="A944" s="4">
        <v>1</v>
      </c>
      <c r="B944" s="5" t="s">
        <v>1031</v>
      </c>
      <c r="C944" s="6">
        <v>8699</v>
      </c>
      <c r="D944" s="7">
        <v>5</v>
      </c>
      <c r="E944">
        <v>8.5500000000000007E-2</v>
      </c>
      <c r="F944" s="1">
        <v>201</v>
      </c>
      <c r="G944" s="1" t="str">
        <f>VLOOKUP(F944,'Master(Ko Xóa)'!$F$2:$H$158,3,0)</f>
        <v>Out</v>
      </c>
      <c r="H944" s="6" t="s">
        <v>13</v>
      </c>
      <c r="I944" s="6" t="s">
        <v>1115</v>
      </c>
    </row>
    <row r="945" spans="1:9">
      <c r="A945" s="4">
        <v>1</v>
      </c>
      <c r="B945" s="5" t="s">
        <v>1032</v>
      </c>
      <c r="C945" s="6">
        <v>8699</v>
      </c>
      <c r="D945" s="7">
        <v>5</v>
      </c>
      <c r="E945">
        <v>4.2849999999999999E-2</v>
      </c>
      <c r="F945" s="1">
        <v>201</v>
      </c>
      <c r="G945" s="1" t="str">
        <f>VLOOKUP(F945,'Master(Ko Xóa)'!$F$2:$H$158,3,0)</f>
        <v>Out</v>
      </c>
      <c r="H945" s="6" t="s">
        <v>13</v>
      </c>
      <c r="I945" s="6" t="s">
        <v>1115</v>
      </c>
    </row>
    <row r="946" spans="1:9">
      <c r="A946" s="4">
        <v>1</v>
      </c>
      <c r="B946" s="5" t="s">
        <v>1033</v>
      </c>
      <c r="C946" s="6">
        <v>8699</v>
      </c>
      <c r="D946" s="7">
        <v>10</v>
      </c>
      <c r="E946">
        <v>5.57E-2</v>
      </c>
      <c r="F946" s="1">
        <v>201</v>
      </c>
      <c r="G946" s="1" t="str">
        <f>VLOOKUP(F946,'Master(Ko Xóa)'!$F$2:$H$158,3,0)</f>
        <v>Out</v>
      </c>
      <c r="H946" s="6" t="s">
        <v>13</v>
      </c>
      <c r="I946" s="6" t="s">
        <v>1115</v>
      </c>
    </row>
    <row r="947" spans="1:9">
      <c r="A947" s="4">
        <v>1</v>
      </c>
      <c r="B947" s="5" t="s">
        <v>1034</v>
      </c>
      <c r="C947" s="6">
        <v>8699</v>
      </c>
      <c r="D947" s="7">
        <v>5</v>
      </c>
      <c r="E947">
        <v>0.14144999999999999</v>
      </c>
      <c r="F947" s="1">
        <v>201</v>
      </c>
      <c r="G947" s="1" t="str">
        <f>VLOOKUP(F947,'Master(Ko Xóa)'!$F$2:$H$158,3,0)</f>
        <v>Out</v>
      </c>
      <c r="H947" s="6" t="s">
        <v>13</v>
      </c>
      <c r="I947" s="6" t="s">
        <v>1115</v>
      </c>
    </row>
    <row r="948" spans="1:9">
      <c r="A948" s="4">
        <v>1</v>
      </c>
      <c r="B948" s="5" t="s">
        <v>1035</v>
      </c>
      <c r="C948" s="6">
        <v>8699</v>
      </c>
      <c r="D948" s="7">
        <v>5</v>
      </c>
      <c r="E948">
        <v>5.3949999999999998E-2</v>
      </c>
      <c r="F948" s="1">
        <v>201</v>
      </c>
      <c r="G948" s="1" t="str">
        <f>VLOOKUP(F948,'Master(Ko Xóa)'!$F$2:$H$158,3,0)</f>
        <v>Out</v>
      </c>
      <c r="H948" s="6" t="s">
        <v>13</v>
      </c>
      <c r="I948" s="6" t="s">
        <v>1115</v>
      </c>
    </row>
    <row r="949" spans="1:9">
      <c r="A949" s="4">
        <v>1</v>
      </c>
      <c r="B949" s="5" t="s">
        <v>1036</v>
      </c>
      <c r="C949" s="6">
        <v>8699</v>
      </c>
      <c r="D949" s="7">
        <v>5</v>
      </c>
      <c r="E949">
        <v>0.10855000000000001</v>
      </c>
      <c r="F949" s="1">
        <v>201</v>
      </c>
      <c r="G949" s="1" t="str">
        <f>VLOOKUP(F949,'Master(Ko Xóa)'!$F$2:$H$158,3,0)</f>
        <v>Out</v>
      </c>
      <c r="H949" s="6" t="s">
        <v>13</v>
      </c>
      <c r="I949" s="6" t="s">
        <v>1115</v>
      </c>
    </row>
    <row r="950" spans="1:9">
      <c r="A950" s="4">
        <v>1</v>
      </c>
      <c r="B950" s="5" t="s">
        <v>1037</v>
      </c>
      <c r="C950" s="6">
        <v>8699</v>
      </c>
      <c r="D950" s="7">
        <v>5</v>
      </c>
      <c r="E950">
        <v>5.5550000000000002E-2</v>
      </c>
      <c r="F950" s="1">
        <v>201</v>
      </c>
      <c r="G950" s="1" t="str">
        <f>VLOOKUP(F950,'Master(Ko Xóa)'!$F$2:$H$158,3,0)</f>
        <v>Out</v>
      </c>
      <c r="H950" s="6" t="s">
        <v>13</v>
      </c>
      <c r="I950" s="6" t="s">
        <v>1115</v>
      </c>
    </row>
    <row r="951" spans="1:9">
      <c r="A951" s="4">
        <v>1</v>
      </c>
      <c r="B951" s="5" t="s">
        <v>1038</v>
      </c>
      <c r="C951" s="6">
        <v>8699</v>
      </c>
      <c r="D951" s="7">
        <v>2</v>
      </c>
      <c r="E951">
        <v>0.30692000000000003</v>
      </c>
      <c r="F951" s="1">
        <v>201</v>
      </c>
      <c r="G951" s="1" t="str">
        <f>VLOOKUP(F951,'Master(Ko Xóa)'!$F$2:$H$158,3,0)</f>
        <v>Out</v>
      </c>
      <c r="H951" s="6" t="s">
        <v>13</v>
      </c>
      <c r="I951" s="6" t="s">
        <v>1115</v>
      </c>
    </row>
    <row r="952" spans="1:9">
      <c r="A952" s="4">
        <v>1</v>
      </c>
      <c r="B952" s="5" t="s">
        <v>1039</v>
      </c>
      <c r="C952" s="6">
        <v>8699</v>
      </c>
      <c r="D952" s="7">
        <v>5</v>
      </c>
      <c r="E952">
        <v>0.58069999999999999</v>
      </c>
      <c r="F952" s="1">
        <v>201</v>
      </c>
      <c r="G952" s="1" t="str">
        <f>VLOOKUP(F952,'Master(Ko Xóa)'!$F$2:$H$158,3,0)</f>
        <v>Out</v>
      </c>
      <c r="H952" s="6" t="s">
        <v>13</v>
      </c>
      <c r="I952" s="6" t="s">
        <v>1115</v>
      </c>
    </row>
    <row r="953" spans="1:9">
      <c r="A953" s="4">
        <v>1</v>
      </c>
      <c r="B953" s="5" t="s">
        <v>1040</v>
      </c>
      <c r="C953" s="6">
        <v>8699</v>
      </c>
      <c r="D953" s="7">
        <v>1</v>
      </c>
      <c r="E953">
        <v>8.0140000000000003E-2</v>
      </c>
      <c r="F953" s="1">
        <v>201</v>
      </c>
      <c r="G953" s="1" t="str">
        <f>VLOOKUP(F953,'Master(Ko Xóa)'!$F$2:$H$158,3,0)</f>
        <v>Out</v>
      </c>
      <c r="H953" s="6" t="s">
        <v>13</v>
      </c>
      <c r="I953" s="6" t="s">
        <v>1115</v>
      </c>
    </row>
    <row r="954" spans="1:9">
      <c r="A954" s="4">
        <v>1</v>
      </c>
      <c r="B954" s="5" t="s">
        <v>1041</v>
      </c>
      <c r="C954" s="6">
        <v>8699</v>
      </c>
      <c r="D954" s="7">
        <v>20</v>
      </c>
      <c r="E954">
        <v>1.0200000000000001E-2</v>
      </c>
      <c r="F954" s="1">
        <v>201</v>
      </c>
      <c r="G954" s="1" t="str">
        <f>VLOOKUP(F954,'Master(Ko Xóa)'!$F$2:$H$158,3,0)</f>
        <v>Out</v>
      </c>
      <c r="H954" s="6" t="s">
        <v>13</v>
      </c>
      <c r="I954" s="6" t="s">
        <v>1115</v>
      </c>
    </row>
    <row r="955" spans="1:9">
      <c r="A955" s="4">
        <v>1</v>
      </c>
      <c r="B955" s="5" t="s">
        <v>1042</v>
      </c>
      <c r="C955" s="6">
        <v>8699</v>
      </c>
      <c r="D955" s="7">
        <v>20</v>
      </c>
      <c r="E955">
        <v>5.4000000000000003E-3</v>
      </c>
      <c r="F955" s="1">
        <v>201</v>
      </c>
      <c r="G955" s="1" t="str">
        <f>VLOOKUP(F955,'Master(Ko Xóa)'!$F$2:$H$158,3,0)</f>
        <v>Out</v>
      </c>
      <c r="H955" s="6" t="s">
        <v>13</v>
      </c>
      <c r="I955" s="6" t="s">
        <v>1115</v>
      </c>
    </row>
    <row r="956" spans="1:9">
      <c r="A956" s="4">
        <v>1</v>
      </c>
      <c r="B956" s="5" t="s">
        <v>1043</v>
      </c>
      <c r="C956" s="6">
        <v>8699</v>
      </c>
      <c r="D956" s="7">
        <v>20</v>
      </c>
      <c r="E956">
        <v>1.6E-2</v>
      </c>
      <c r="F956" s="1">
        <v>201</v>
      </c>
      <c r="G956" s="1" t="str">
        <f>VLOOKUP(F956,'Master(Ko Xóa)'!$F$2:$H$158,3,0)</f>
        <v>Out</v>
      </c>
      <c r="H956" s="6" t="s">
        <v>13</v>
      </c>
      <c r="I956" s="6" t="s">
        <v>1115</v>
      </c>
    </row>
    <row r="957" spans="1:9">
      <c r="A957" s="4">
        <v>1</v>
      </c>
      <c r="B957" s="5" t="s">
        <v>1044</v>
      </c>
      <c r="C957" s="6">
        <v>8699</v>
      </c>
      <c r="D957" s="7">
        <v>20</v>
      </c>
      <c r="E957">
        <v>5.4000000000000003E-3</v>
      </c>
      <c r="F957" s="1">
        <v>201</v>
      </c>
      <c r="G957" s="1" t="str">
        <f>VLOOKUP(F957,'Master(Ko Xóa)'!$F$2:$H$158,3,0)</f>
        <v>Out</v>
      </c>
      <c r="H957" s="6" t="s">
        <v>13</v>
      </c>
      <c r="I957" s="6" t="s">
        <v>1115</v>
      </c>
    </row>
    <row r="958" spans="1:9">
      <c r="A958" s="4">
        <v>1</v>
      </c>
      <c r="B958" s="5" t="s">
        <v>1045</v>
      </c>
      <c r="C958" s="6">
        <v>8699</v>
      </c>
      <c r="D958" s="7">
        <v>10</v>
      </c>
      <c r="E958">
        <v>6.4999999999999997E-3</v>
      </c>
      <c r="F958" s="1">
        <v>201</v>
      </c>
      <c r="G958" s="1" t="str">
        <f>VLOOKUP(F958,'Master(Ko Xóa)'!$F$2:$H$158,3,0)</f>
        <v>Out</v>
      </c>
      <c r="H958" s="6" t="s">
        <v>13</v>
      </c>
      <c r="I958" s="6" t="s">
        <v>1115</v>
      </c>
    </row>
    <row r="959" spans="1:9">
      <c r="A959" s="4">
        <v>1</v>
      </c>
      <c r="B959" s="5" t="s">
        <v>1046</v>
      </c>
      <c r="C959" s="6">
        <v>8699</v>
      </c>
      <c r="D959" s="7">
        <v>20</v>
      </c>
      <c r="E959">
        <v>8.0000000000000002E-3</v>
      </c>
      <c r="F959" s="1">
        <v>201</v>
      </c>
      <c r="G959" s="1" t="str">
        <f>VLOOKUP(F959,'Master(Ko Xóa)'!$F$2:$H$158,3,0)</f>
        <v>Out</v>
      </c>
      <c r="H959" s="6" t="s">
        <v>13</v>
      </c>
      <c r="I959" s="6" t="s">
        <v>1115</v>
      </c>
    </row>
    <row r="960" spans="1:9">
      <c r="A960" s="4">
        <v>1</v>
      </c>
      <c r="B960" s="5" t="s">
        <v>1047</v>
      </c>
      <c r="C960" s="6">
        <v>8699</v>
      </c>
      <c r="D960" s="7">
        <v>10</v>
      </c>
      <c r="E960">
        <v>6.4999999999999997E-3</v>
      </c>
      <c r="F960" s="1">
        <v>201</v>
      </c>
      <c r="G960" s="1" t="str">
        <f>VLOOKUP(F960,'Master(Ko Xóa)'!$F$2:$H$158,3,0)</f>
        <v>Out</v>
      </c>
      <c r="H960" s="6" t="s">
        <v>13</v>
      </c>
      <c r="I960" s="6" t="s">
        <v>1115</v>
      </c>
    </row>
    <row r="961" spans="1:9">
      <c r="A961" s="4">
        <v>1</v>
      </c>
      <c r="B961" s="5" t="s">
        <v>1048</v>
      </c>
      <c r="C961" s="6">
        <v>8699</v>
      </c>
      <c r="D961" s="7">
        <v>20</v>
      </c>
      <c r="E961">
        <v>1.2999999999999999E-2</v>
      </c>
      <c r="F961" s="1">
        <v>201</v>
      </c>
      <c r="G961" s="1" t="str">
        <f>VLOOKUP(F961,'Master(Ko Xóa)'!$F$2:$H$158,3,0)</f>
        <v>Out</v>
      </c>
      <c r="H961" s="6" t="s">
        <v>13</v>
      </c>
      <c r="I961" s="6" t="s">
        <v>1115</v>
      </c>
    </row>
    <row r="962" spans="1:9">
      <c r="A962" s="4">
        <v>1</v>
      </c>
      <c r="B962" s="5" t="s">
        <v>1049</v>
      </c>
      <c r="C962" s="6">
        <v>8699</v>
      </c>
      <c r="D962" s="7">
        <v>10</v>
      </c>
      <c r="E962">
        <v>6.4999999999999997E-3</v>
      </c>
      <c r="F962" s="1">
        <v>201</v>
      </c>
      <c r="G962" s="1" t="str">
        <f>VLOOKUP(F962,'Master(Ko Xóa)'!$F$2:$H$158,3,0)</f>
        <v>Out</v>
      </c>
      <c r="H962" s="6" t="s">
        <v>13</v>
      </c>
      <c r="I962" s="6" t="s">
        <v>1115</v>
      </c>
    </row>
    <row r="963" spans="1:9">
      <c r="A963" s="4">
        <v>1</v>
      </c>
      <c r="B963" s="5" t="s">
        <v>1050</v>
      </c>
      <c r="C963" s="6">
        <v>8699</v>
      </c>
      <c r="D963" s="7">
        <v>10</v>
      </c>
      <c r="E963">
        <v>1.1799999999999998E-2</v>
      </c>
      <c r="F963" s="1">
        <v>201</v>
      </c>
      <c r="G963" s="1" t="str">
        <f>VLOOKUP(F963,'Master(Ko Xóa)'!$F$2:$H$158,3,0)</f>
        <v>Out</v>
      </c>
      <c r="H963" s="6" t="s">
        <v>13</v>
      </c>
      <c r="I963" s="6" t="s">
        <v>1115</v>
      </c>
    </row>
    <row r="964" spans="1:9">
      <c r="A964" s="4">
        <v>1</v>
      </c>
      <c r="B964" s="5" t="s">
        <v>1051</v>
      </c>
      <c r="C964" s="6">
        <v>8699</v>
      </c>
      <c r="D964" s="7">
        <v>10</v>
      </c>
      <c r="E964">
        <v>0.18460000000000001</v>
      </c>
      <c r="F964" s="1">
        <v>201</v>
      </c>
      <c r="G964" s="1" t="str">
        <f>VLOOKUP(F964,'Master(Ko Xóa)'!$F$2:$H$158,3,0)</f>
        <v>Out</v>
      </c>
      <c r="H964" s="6" t="s">
        <v>13</v>
      </c>
      <c r="I964" s="6" t="s">
        <v>1115</v>
      </c>
    </row>
    <row r="965" spans="1:9">
      <c r="A965" s="4">
        <v>1</v>
      </c>
      <c r="B965" s="5" t="s">
        <v>1052</v>
      </c>
      <c r="C965" s="6">
        <v>8699</v>
      </c>
      <c r="D965" s="7">
        <v>1</v>
      </c>
      <c r="E965">
        <v>4.3999999999999997E-2</v>
      </c>
      <c r="F965" s="1">
        <v>201</v>
      </c>
      <c r="G965" s="1" t="str">
        <f>VLOOKUP(F965,'Master(Ko Xóa)'!$F$2:$H$158,3,0)</f>
        <v>Out</v>
      </c>
      <c r="H965" s="6" t="s">
        <v>13</v>
      </c>
      <c r="I965" s="6" t="s">
        <v>1115</v>
      </c>
    </row>
    <row r="966" spans="1:9">
      <c r="A966" s="4">
        <v>1</v>
      </c>
      <c r="B966" s="5" t="s">
        <v>1053</v>
      </c>
      <c r="C966" s="6">
        <v>8699</v>
      </c>
      <c r="D966" s="7">
        <v>20</v>
      </c>
      <c r="E966">
        <v>5.9999999999999993E-3</v>
      </c>
      <c r="F966" s="1">
        <v>201</v>
      </c>
      <c r="G966" s="1" t="str">
        <f>VLOOKUP(F966,'Master(Ko Xóa)'!$F$2:$H$158,3,0)</f>
        <v>Out</v>
      </c>
      <c r="H966" s="6" t="s">
        <v>13</v>
      </c>
      <c r="I966" s="6" t="s">
        <v>1115</v>
      </c>
    </row>
    <row r="967" spans="1:9">
      <c r="A967" s="4">
        <v>1</v>
      </c>
      <c r="B967" s="5" t="s">
        <v>397</v>
      </c>
      <c r="C967" s="6">
        <v>8699</v>
      </c>
      <c r="D967" s="7">
        <v>20</v>
      </c>
      <c r="E967">
        <v>5.9999999999999993E-3</v>
      </c>
      <c r="F967" s="1">
        <v>201</v>
      </c>
      <c r="G967" s="1" t="str">
        <f>VLOOKUP(F967,'Master(Ko Xóa)'!$F$2:$H$158,3,0)</f>
        <v>Out</v>
      </c>
      <c r="H967" s="6" t="s">
        <v>13</v>
      </c>
      <c r="I967" s="6" t="s">
        <v>1115</v>
      </c>
    </row>
    <row r="968" spans="1:9">
      <c r="A968" s="4">
        <v>1</v>
      </c>
      <c r="B968" s="5" t="s">
        <v>1054</v>
      </c>
      <c r="C968" s="6">
        <v>8699</v>
      </c>
      <c r="D968" s="7">
        <v>20</v>
      </c>
      <c r="E968">
        <v>5.9999999999999993E-3</v>
      </c>
      <c r="F968" s="1">
        <v>201</v>
      </c>
      <c r="G968" s="1" t="str">
        <f>VLOOKUP(F968,'Master(Ko Xóa)'!$F$2:$H$158,3,0)</f>
        <v>Out</v>
      </c>
      <c r="H968" s="6" t="s">
        <v>13</v>
      </c>
      <c r="I968" s="6" t="s">
        <v>1115</v>
      </c>
    </row>
    <row r="969" spans="1:9">
      <c r="A969" s="4">
        <v>1</v>
      </c>
      <c r="B969" s="5" t="s">
        <v>1055</v>
      </c>
      <c r="C969" s="6">
        <v>8699</v>
      </c>
      <c r="D969" s="7">
        <v>20</v>
      </c>
      <c r="E969">
        <v>1.4599999999999998E-2</v>
      </c>
      <c r="F969" s="1">
        <v>201</v>
      </c>
      <c r="G969" s="1" t="str">
        <f>VLOOKUP(F969,'Master(Ko Xóa)'!$F$2:$H$158,3,0)</f>
        <v>Out</v>
      </c>
      <c r="H969" s="6" t="s">
        <v>13</v>
      </c>
      <c r="I969" s="6" t="s">
        <v>1115</v>
      </c>
    </row>
    <row r="970" spans="1:9">
      <c r="A970" s="4">
        <v>1</v>
      </c>
      <c r="B970" s="5" t="s">
        <v>1056</v>
      </c>
      <c r="C970" s="6">
        <v>8699</v>
      </c>
      <c r="D970" s="7">
        <v>20</v>
      </c>
      <c r="E970">
        <v>1.4599999999999998E-2</v>
      </c>
      <c r="F970" s="1">
        <v>201</v>
      </c>
      <c r="G970" s="1" t="str">
        <f>VLOOKUP(F970,'Master(Ko Xóa)'!$F$2:$H$158,3,0)</f>
        <v>Out</v>
      </c>
      <c r="H970" s="6" t="s">
        <v>13</v>
      </c>
      <c r="I970" s="6" t="s">
        <v>1115</v>
      </c>
    </row>
    <row r="971" spans="1:9">
      <c r="A971" s="4">
        <v>1</v>
      </c>
      <c r="B971" s="5" t="s">
        <v>1057</v>
      </c>
      <c r="C971" s="6">
        <v>8699</v>
      </c>
      <c r="D971" s="7">
        <v>1</v>
      </c>
      <c r="E971">
        <v>2.0500000000000001E-2</v>
      </c>
      <c r="F971" s="1">
        <v>201</v>
      </c>
      <c r="G971" s="1" t="str">
        <f>VLOOKUP(F971,'Master(Ko Xóa)'!$F$2:$H$158,3,0)</f>
        <v>Out</v>
      </c>
      <c r="H971" s="6" t="s">
        <v>13</v>
      </c>
      <c r="I971" s="6" t="s">
        <v>1115</v>
      </c>
    </row>
    <row r="972" spans="1:9">
      <c r="A972" s="4">
        <v>1</v>
      </c>
      <c r="B972" s="5" t="s">
        <v>1058</v>
      </c>
      <c r="C972" s="6">
        <v>8699</v>
      </c>
      <c r="D972" s="7">
        <v>1</v>
      </c>
      <c r="E972">
        <v>8.4199999999999997E-2</v>
      </c>
      <c r="F972" s="1">
        <v>201</v>
      </c>
      <c r="G972" s="1" t="str">
        <f>VLOOKUP(F972,'Master(Ko Xóa)'!$F$2:$H$158,3,0)</f>
        <v>Out</v>
      </c>
      <c r="H972" s="6" t="s">
        <v>13</v>
      </c>
      <c r="I972" s="6" t="s">
        <v>1115</v>
      </c>
    </row>
    <row r="973" spans="1:9">
      <c r="A973" s="4">
        <v>1</v>
      </c>
      <c r="B973" s="5" t="s">
        <v>1059</v>
      </c>
      <c r="C973" s="6">
        <v>8699</v>
      </c>
      <c r="D973" s="7">
        <v>20</v>
      </c>
      <c r="E973">
        <v>5.5800000000000002E-2</v>
      </c>
      <c r="F973" s="1">
        <v>201</v>
      </c>
      <c r="G973" s="1" t="str">
        <f>VLOOKUP(F973,'Master(Ko Xóa)'!$F$2:$H$158,3,0)</f>
        <v>Out</v>
      </c>
      <c r="H973" s="6" t="s">
        <v>13</v>
      </c>
      <c r="I973" s="6" t="s">
        <v>1115</v>
      </c>
    </row>
    <row r="974" spans="1:9">
      <c r="A974" s="4">
        <v>1</v>
      </c>
      <c r="B974" s="5" t="s">
        <v>1060</v>
      </c>
      <c r="C974" s="6">
        <v>8699</v>
      </c>
      <c r="D974" s="7">
        <v>20</v>
      </c>
      <c r="E974">
        <v>4.9000000000000009E-2</v>
      </c>
      <c r="F974" s="1">
        <v>201</v>
      </c>
      <c r="G974" s="1" t="str">
        <f>VLOOKUP(F974,'Master(Ko Xóa)'!$F$2:$H$158,3,0)</f>
        <v>Out</v>
      </c>
      <c r="H974" s="6" t="s">
        <v>13</v>
      </c>
      <c r="I974" s="6" t="s">
        <v>1115</v>
      </c>
    </row>
    <row r="975" spans="1:9">
      <c r="A975" s="4">
        <v>1</v>
      </c>
      <c r="B975" s="5" t="s">
        <v>1061</v>
      </c>
      <c r="C975" s="6">
        <v>8699</v>
      </c>
      <c r="D975" s="7">
        <v>20</v>
      </c>
      <c r="E975">
        <v>1.4199999999999997E-2</v>
      </c>
      <c r="F975" s="1">
        <v>201</v>
      </c>
      <c r="G975" s="1" t="str">
        <f>VLOOKUP(F975,'Master(Ko Xóa)'!$F$2:$H$158,3,0)</f>
        <v>Out</v>
      </c>
      <c r="H975" s="6" t="s">
        <v>13</v>
      </c>
      <c r="I975" s="6" t="s">
        <v>1115</v>
      </c>
    </row>
    <row r="976" spans="1:9">
      <c r="A976" s="4">
        <v>1</v>
      </c>
      <c r="B976" s="5" t="s">
        <v>1062</v>
      </c>
      <c r="C976" s="6">
        <v>8699</v>
      </c>
      <c r="D976" s="7">
        <v>20</v>
      </c>
      <c r="E976">
        <v>0.01</v>
      </c>
      <c r="F976" s="1">
        <v>201</v>
      </c>
      <c r="G976" s="1" t="str">
        <f>VLOOKUP(F976,'Master(Ko Xóa)'!$F$2:$H$158,3,0)</f>
        <v>Out</v>
      </c>
      <c r="H976" s="6" t="s">
        <v>13</v>
      </c>
      <c r="I976" s="6" t="s">
        <v>1115</v>
      </c>
    </row>
    <row r="977" spans="1:9">
      <c r="A977" s="4">
        <v>1</v>
      </c>
      <c r="B977" s="5" t="s">
        <v>162</v>
      </c>
      <c r="C977" s="6">
        <v>8699</v>
      </c>
      <c r="D977" s="7">
        <v>20</v>
      </c>
      <c r="E977">
        <v>5.4200000000000005E-2</v>
      </c>
      <c r="F977" s="1">
        <v>201</v>
      </c>
      <c r="G977" s="1" t="str">
        <f>VLOOKUP(F977,'Master(Ko Xóa)'!$F$2:$H$158,3,0)</f>
        <v>Out</v>
      </c>
      <c r="H977" s="6" t="s">
        <v>13</v>
      </c>
      <c r="I977" s="6" t="s">
        <v>1115</v>
      </c>
    </row>
    <row r="978" spans="1:9">
      <c r="A978" s="4">
        <v>1</v>
      </c>
      <c r="B978" s="5" t="s">
        <v>480</v>
      </c>
      <c r="C978" s="6">
        <v>8699</v>
      </c>
      <c r="D978" s="7">
        <v>5</v>
      </c>
      <c r="E978">
        <v>0.1018</v>
      </c>
      <c r="F978" s="1">
        <v>201</v>
      </c>
      <c r="G978" s="1" t="str">
        <f>VLOOKUP(F978,'Master(Ko Xóa)'!$F$2:$H$158,3,0)</f>
        <v>Out</v>
      </c>
      <c r="H978" s="6" t="s">
        <v>13</v>
      </c>
      <c r="I978" s="6" t="s">
        <v>1115</v>
      </c>
    </row>
    <row r="979" spans="1:9">
      <c r="A979" s="4">
        <v>1</v>
      </c>
      <c r="B979" s="5" t="s">
        <v>1063</v>
      </c>
      <c r="C979" s="6">
        <v>8699</v>
      </c>
      <c r="D979" s="7">
        <v>2</v>
      </c>
      <c r="E979">
        <v>9.6579999999999999E-2</v>
      </c>
      <c r="F979" s="1">
        <v>201</v>
      </c>
      <c r="G979" s="1" t="str">
        <f>VLOOKUP(F979,'Master(Ko Xóa)'!$F$2:$H$158,3,0)</f>
        <v>Out</v>
      </c>
      <c r="H979" s="6" t="s">
        <v>13</v>
      </c>
      <c r="I979" s="6" t="s">
        <v>1115</v>
      </c>
    </row>
    <row r="980" spans="1:9">
      <c r="A980" s="4">
        <v>1</v>
      </c>
      <c r="B980" s="5" t="s">
        <v>1064</v>
      </c>
      <c r="C980" s="6">
        <v>8699</v>
      </c>
      <c r="D980" s="7">
        <v>5</v>
      </c>
      <c r="E980">
        <v>0.12855</v>
      </c>
      <c r="F980" s="1">
        <v>201</v>
      </c>
      <c r="G980" s="1" t="str">
        <f>VLOOKUP(F980,'Master(Ko Xóa)'!$F$2:$H$158,3,0)</f>
        <v>Out</v>
      </c>
      <c r="H980" s="6" t="s">
        <v>13</v>
      </c>
      <c r="I980" s="6" t="s">
        <v>1115</v>
      </c>
    </row>
    <row r="981" spans="1:9">
      <c r="A981" s="4">
        <v>1</v>
      </c>
      <c r="B981" s="5" t="s">
        <v>1065</v>
      </c>
      <c r="C981" s="6">
        <v>8699</v>
      </c>
      <c r="D981" s="7">
        <v>1</v>
      </c>
      <c r="E981">
        <v>0.38247000000000003</v>
      </c>
      <c r="F981" s="1">
        <v>201</v>
      </c>
      <c r="G981" s="1" t="str">
        <f>VLOOKUP(F981,'Master(Ko Xóa)'!$F$2:$H$158,3,0)</f>
        <v>Out</v>
      </c>
      <c r="H981" s="6" t="s">
        <v>13</v>
      </c>
      <c r="I981" s="6" t="s">
        <v>1115</v>
      </c>
    </row>
    <row r="982" spans="1:9">
      <c r="A982" s="4">
        <v>1</v>
      </c>
      <c r="B982" s="5" t="s">
        <v>1066</v>
      </c>
      <c r="C982" s="6">
        <v>8699</v>
      </c>
      <c r="D982" s="7">
        <v>2</v>
      </c>
      <c r="E982">
        <v>7.0000000000000007E-2</v>
      </c>
      <c r="F982" s="1">
        <v>201</v>
      </c>
      <c r="G982" s="1" t="str">
        <f>VLOOKUP(F982,'Master(Ko Xóa)'!$F$2:$H$158,3,0)</f>
        <v>Out</v>
      </c>
      <c r="H982" s="6" t="s">
        <v>13</v>
      </c>
      <c r="I982" s="6" t="s">
        <v>1115</v>
      </c>
    </row>
    <row r="983" spans="1:9">
      <c r="A983" s="4">
        <v>1</v>
      </c>
      <c r="B983" s="5" t="s">
        <v>1067</v>
      </c>
      <c r="C983" s="6">
        <v>8699</v>
      </c>
      <c r="D983" s="7">
        <v>1</v>
      </c>
      <c r="E983">
        <v>5.5530000000000003E-2</v>
      </c>
      <c r="F983" s="1">
        <v>201</v>
      </c>
      <c r="G983" s="1" t="str">
        <f>VLOOKUP(F983,'Master(Ko Xóa)'!$F$2:$H$158,3,0)</f>
        <v>Out</v>
      </c>
      <c r="H983" s="6" t="s">
        <v>13</v>
      </c>
      <c r="I983" s="6" t="s">
        <v>1115</v>
      </c>
    </row>
    <row r="984" spans="1:9">
      <c r="A984" s="4">
        <v>1</v>
      </c>
      <c r="B984" s="5" t="s">
        <v>1068</v>
      </c>
      <c r="C984" s="6">
        <v>8699</v>
      </c>
      <c r="D984" s="7">
        <v>1</v>
      </c>
      <c r="E984">
        <v>5.8070000000000004E-2</v>
      </c>
      <c r="F984" s="1">
        <v>201</v>
      </c>
      <c r="G984" s="1" t="str">
        <f>VLOOKUP(F984,'Master(Ko Xóa)'!$F$2:$H$158,3,0)</f>
        <v>Out</v>
      </c>
      <c r="H984" s="6" t="s">
        <v>13</v>
      </c>
      <c r="I984" s="6" t="s">
        <v>1115</v>
      </c>
    </row>
    <row r="985" spans="1:9">
      <c r="A985" s="4">
        <v>1</v>
      </c>
      <c r="B985" s="5" t="s">
        <v>1069</v>
      </c>
      <c r="C985" s="6">
        <v>8699</v>
      </c>
      <c r="D985" s="7">
        <v>1</v>
      </c>
      <c r="E985">
        <v>0.371</v>
      </c>
      <c r="F985" s="1">
        <v>201</v>
      </c>
      <c r="G985" s="1" t="str">
        <f>VLOOKUP(F985,'Master(Ko Xóa)'!$F$2:$H$158,3,0)</f>
        <v>Out</v>
      </c>
      <c r="H985" s="6" t="s">
        <v>13</v>
      </c>
      <c r="I985" s="6" t="s">
        <v>1115</v>
      </c>
    </row>
    <row r="986" spans="1:9">
      <c r="A986" s="4">
        <v>1</v>
      </c>
      <c r="B986" s="5" t="s">
        <v>1070</v>
      </c>
      <c r="C986" s="6">
        <v>8699</v>
      </c>
      <c r="D986" s="7">
        <v>1</v>
      </c>
      <c r="E986">
        <v>0.32379000000000002</v>
      </c>
      <c r="F986" s="1">
        <v>201</v>
      </c>
      <c r="G986" s="1" t="str">
        <f>VLOOKUP(F986,'Master(Ko Xóa)'!$F$2:$H$158,3,0)</f>
        <v>Out</v>
      </c>
      <c r="H986" s="6" t="s">
        <v>13</v>
      </c>
      <c r="I986" s="6" t="s">
        <v>1115</v>
      </c>
    </row>
    <row r="987" spans="1:9">
      <c r="A987" s="4">
        <v>1</v>
      </c>
      <c r="B987" s="5" t="s">
        <v>607</v>
      </c>
      <c r="C987" s="6">
        <v>8699</v>
      </c>
      <c r="D987" s="7">
        <v>1</v>
      </c>
      <c r="E987">
        <v>9.8000000000000004E-2</v>
      </c>
      <c r="F987" s="1">
        <v>201</v>
      </c>
      <c r="G987" s="1" t="str">
        <f>VLOOKUP(F987,'Master(Ko Xóa)'!$F$2:$H$158,3,0)</f>
        <v>Out</v>
      </c>
      <c r="H987" s="6" t="s">
        <v>13</v>
      </c>
      <c r="I987" s="6" t="s">
        <v>1115</v>
      </c>
    </row>
    <row r="988" spans="1:9">
      <c r="A988" s="4">
        <v>1</v>
      </c>
      <c r="B988" s="5" t="s">
        <v>1071</v>
      </c>
      <c r="C988" s="6">
        <v>8699</v>
      </c>
      <c r="D988" s="7">
        <v>1</v>
      </c>
      <c r="E988">
        <v>1.8960000000000001E-2</v>
      </c>
      <c r="F988" s="1">
        <v>201</v>
      </c>
      <c r="G988" s="1" t="str">
        <f>VLOOKUP(F988,'Master(Ko Xóa)'!$F$2:$H$158,3,0)</f>
        <v>Out</v>
      </c>
      <c r="H988" s="6" t="s">
        <v>13</v>
      </c>
      <c r="I988" s="6" t="s">
        <v>1115</v>
      </c>
    </row>
    <row r="989" spans="1:9">
      <c r="A989" s="4">
        <v>1</v>
      </c>
      <c r="B989" s="5" t="s">
        <v>1072</v>
      </c>
      <c r="C989" s="6">
        <v>8699</v>
      </c>
      <c r="D989" s="7">
        <v>2</v>
      </c>
      <c r="E989">
        <v>2.2275999999999998</v>
      </c>
      <c r="F989" s="1">
        <v>201</v>
      </c>
      <c r="G989" s="1" t="str">
        <f>VLOOKUP(F989,'Master(Ko Xóa)'!$F$2:$H$158,3,0)</f>
        <v>Out</v>
      </c>
      <c r="H989" s="6" t="s">
        <v>13</v>
      </c>
      <c r="I989" s="6" t="s">
        <v>1116</v>
      </c>
    </row>
    <row r="990" spans="1:9">
      <c r="A990" s="4">
        <v>1</v>
      </c>
      <c r="B990" s="5" t="s">
        <v>1073</v>
      </c>
      <c r="C990" s="6">
        <v>8699</v>
      </c>
      <c r="D990" s="7">
        <v>3</v>
      </c>
      <c r="E990">
        <v>2.7008999999999999</v>
      </c>
      <c r="F990" s="1">
        <v>201</v>
      </c>
      <c r="G990" s="1" t="str">
        <f>VLOOKUP(F990,'Master(Ko Xóa)'!$F$2:$H$158,3,0)</f>
        <v>Out</v>
      </c>
      <c r="H990" s="6" t="s">
        <v>13</v>
      </c>
      <c r="I990" s="6" t="s">
        <v>1116</v>
      </c>
    </row>
    <row r="991" spans="1:9">
      <c r="A991" s="4">
        <v>1</v>
      </c>
      <c r="B991" s="5" t="s">
        <v>1074</v>
      </c>
      <c r="C991" s="6">
        <v>8699</v>
      </c>
      <c r="D991" s="7">
        <v>5</v>
      </c>
      <c r="E991">
        <v>2.785E-2</v>
      </c>
      <c r="F991" s="1">
        <v>201</v>
      </c>
      <c r="G991" s="1" t="str">
        <f>VLOOKUP(F991,'Master(Ko Xóa)'!$F$2:$H$158,3,0)</f>
        <v>Out</v>
      </c>
      <c r="H991" s="6" t="s">
        <v>13</v>
      </c>
      <c r="I991" s="6" t="s">
        <v>1116</v>
      </c>
    </row>
    <row r="992" spans="1:9">
      <c r="A992" s="4">
        <v>1</v>
      </c>
      <c r="B992" s="5" t="s">
        <v>1075</v>
      </c>
      <c r="C992" s="6">
        <v>8699</v>
      </c>
      <c r="D992" s="7">
        <v>5</v>
      </c>
      <c r="E992">
        <v>5.645E-2</v>
      </c>
      <c r="F992" s="1">
        <v>201</v>
      </c>
      <c r="G992" s="1" t="str">
        <f>VLOOKUP(F992,'Master(Ko Xóa)'!$F$2:$H$158,3,0)</f>
        <v>Out</v>
      </c>
      <c r="H992" s="6" t="s">
        <v>13</v>
      </c>
      <c r="I992" s="6" t="s">
        <v>1116</v>
      </c>
    </row>
    <row r="993" spans="1:9">
      <c r="A993" s="4">
        <v>1</v>
      </c>
      <c r="B993" s="5" t="s">
        <v>1076</v>
      </c>
      <c r="C993" s="6">
        <v>8699</v>
      </c>
      <c r="D993" s="7">
        <v>5</v>
      </c>
      <c r="E993">
        <v>3.2500000000000001E-2</v>
      </c>
      <c r="F993" s="1">
        <v>201</v>
      </c>
      <c r="G993" s="1" t="str">
        <f>VLOOKUP(F993,'Master(Ko Xóa)'!$F$2:$H$158,3,0)</f>
        <v>Out</v>
      </c>
      <c r="H993" s="6" t="s">
        <v>13</v>
      </c>
      <c r="I993" s="6" t="s">
        <v>1116</v>
      </c>
    </row>
    <row r="994" spans="1:9">
      <c r="A994" s="4">
        <v>1</v>
      </c>
      <c r="B994" s="5" t="s">
        <v>1077</v>
      </c>
      <c r="C994" s="6">
        <v>8699</v>
      </c>
      <c r="D994" s="7">
        <v>5</v>
      </c>
      <c r="E994">
        <v>3.7499999999999999E-2</v>
      </c>
      <c r="F994" s="1">
        <v>201</v>
      </c>
      <c r="G994" s="1" t="str">
        <f>VLOOKUP(F994,'Master(Ko Xóa)'!$F$2:$H$158,3,0)</f>
        <v>Out</v>
      </c>
      <c r="H994" s="6" t="s">
        <v>13</v>
      </c>
      <c r="I994" s="6" t="s">
        <v>1116</v>
      </c>
    </row>
    <row r="995" spans="1:9">
      <c r="A995" s="4">
        <v>1</v>
      </c>
      <c r="B995" s="5" t="s">
        <v>1078</v>
      </c>
      <c r="C995" s="6">
        <v>8699</v>
      </c>
      <c r="D995" s="7">
        <v>5</v>
      </c>
      <c r="E995">
        <v>5.1849999999999993E-2</v>
      </c>
      <c r="F995" s="1">
        <v>201</v>
      </c>
      <c r="G995" s="1" t="str">
        <f>VLOOKUP(F995,'Master(Ko Xóa)'!$F$2:$H$158,3,0)</f>
        <v>Out</v>
      </c>
      <c r="H995" s="6" t="s">
        <v>13</v>
      </c>
      <c r="I995" s="6" t="s">
        <v>1116</v>
      </c>
    </row>
    <row r="996" spans="1:9">
      <c r="A996" s="4">
        <v>1</v>
      </c>
      <c r="B996" s="5" t="s">
        <v>1079</v>
      </c>
      <c r="C996" s="6">
        <v>8699</v>
      </c>
      <c r="D996" s="7">
        <v>5</v>
      </c>
      <c r="E996">
        <v>3.4550000000000004E-2</v>
      </c>
      <c r="F996" s="1">
        <v>201</v>
      </c>
      <c r="G996" s="1" t="str">
        <f>VLOOKUP(F996,'Master(Ko Xóa)'!$F$2:$H$158,3,0)</f>
        <v>Out</v>
      </c>
      <c r="H996" s="6" t="s">
        <v>13</v>
      </c>
      <c r="I996" s="6" t="s">
        <v>1116</v>
      </c>
    </row>
    <row r="997" spans="1:9">
      <c r="A997" s="4">
        <v>1</v>
      </c>
      <c r="B997" s="5" t="s">
        <v>1080</v>
      </c>
      <c r="C997" s="6">
        <v>8699</v>
      </c>
      <c r="D997" s="7">
        <v>1</v>
      </c>
      <c r="E997">
        <v>0.15221999999999999</v>
      </c>
      <c r="F997" s="1">
        <v>201</v>
      </c>
      <c r="G997" s="1" t="str">
        <f>VLOOKUP(F997,'Master(Ko Xóa)'!$F$2:$H$158,3,0)</f>
        <v>Out</v>
      </c>
      <c r="H997" s="6" t="s">
        <v>13</v>
      </c>
      <c r="I997" s="6" t="s">
        <v>1116</v>
      </c>
    </row>
    <row r="998" spans="1:9">
      <c r="A998" s="4">
        <v>1</v>
      </c>
      <c r="B998" s="5" t="s">
        <v>1081</v>
      </c>
      <c r="C998" s="6">
        <v>8699</v>
      </c>
      <c r="D998" s="7">
        <v>5</v>
      </c>
      <c r="E998">
        <v>4.1449999999999994E-2</v>
      </c>
      <c r="F998" s="1">
        <v>201</v>
      </c>
      <c r="G998" s="1" t="str">
        <f>VLOOKUP(F998,'Master(Ko Xóa)'!$F$2:$H$158,3,0)</f>
        <v>Out</v>
      </c>
      <c r="H998" s="6" t="s">
        <v>13</v>
      </c>
      <c r="I998" s="6" t="s">
        <v>1116</v>
      </c>
    </row>
    <row r="999" spans="1:9">
      <c r="A999" s="4">
        <v>1</v>
      </c>
      <c r="B999" s="5" t="s">
        <v>140</v>
      </c>
      <c r="C999" s="6">
        <v>8699</v>
      </c>
      <c r="D999" s="7">
        <v>1</v>
      </c>
      <c r="E999">
        <v>2.614E-2</v>
      </c>
      <c r="F999" s="1">
        <v>201</v>
      </c>
      <c r="G999" s="1" t="str">
        <f>VLOOKUP(F999,'Master(Ko Xóa)'!$F$2:$H$158,3,0)</f>
        <v>Out</v>
      </c>
      <c r="H999" s="6" t="s">
        <v>13</v>
      </c>
      <c r="I999" s="6" t="s">
        <v>1116</v>
      </c>
    </row>
    <row r="1000" spans="1:9">
      <c r="A1000" s="4">
        <v>1</v>
      </c>
      <c r="B1000" s="5" t="s">
        <v>1082</v>
      </c>
      <c r="C1000" s="6">
        <v>8699</v>
      </c>
      <c r="D1000" s="7">
        <v>5</v>
      </c>
      <c r="E1000">
        <v>0.8892500000000001</v>
      </c>
      <c r="F1000" s="1">
        <v>201</v>
      </c>
      <c r="G1000" s="1" t="str">
        <f>VLOOKUP(F1000,'Master(Ko Xóa)'!$F$2:$H$158,3,0)</f>
        <v>Out</v>
      </c>
      <c r="H1000" s="6" t="s">
        <v>13</v>
      </c>
      <c r="I1000" s="6" t="s">
        <v>1116</v>
      </c>
    </row>
    <row r="1001" spans="1:9">
      <c r="A1001" s="4">
        <v>1</v>
      </c>
      <c r="B1001" s="5" t="s">
        <v>1083</v>
      </c>
      <c r="C1001" s="6">
        <v>8699</v>
      </c>
      <c r="D1001" s="7">
        <v>10</v>
      </c>
      <c r="E1001">
        <v>4.3499999999999997E-2</v>
      </c>
      <c r="F1001" s="1">
        <v>201</v>
      </c>
      <c r="G1001" s="1" t="str">
        <f>VLOOKUP(F1001,'Master(Ko Xóa)'!$F$2:$H$158,3,0)</f>
        <v>Out</v>
      </c>
      <c r="H1001" s="6" t="s">
        <v>13</v>
      </c>
      <c r="I1001" s="6" t="s">
        <v>1116</v>
      </c>
    </row>
    <row r="1002" spans="1:9">
      <c r="A1002" s="4">
        <v>1</v>
      </c>
      <c r="B1002" s="5" t="s">
        <v>1084</v>
      </c>
      <c r="C1002" s="6">
        <v>8699</v>
      </c>
      <c r="D1002" s="7">
        <v>20</v>
      </c>
      <c r="E1002">
        <v>5.6000000000000008E-3</v>
      </c>
      <c r="F1002" s="1">
        <v>201</v>
      </c>
      <c r="G1002" s="1" t="str">
        <f>VLOOKUP(F1002,'Master(Ko Xóa)'!$F$2:$H$158,3,0)</f>
        <v>Out</v>
      </c>
      <c r="H1002" s="6" t="s">
        <v>13</v>
      </c>
      <c r="I1002" s="6" t="s">
        <v>1116</v>
      </c>
    </row>
    <row r="1003" spans="1:9">
      <c r="A1003" s="4">
        <v>1</v>
      </c>
      <c r="B1003" s="5" t="s">
        <v>1085</v>
      </c>
      <c r="C1003" s="6">
        <v>8699</v>
      </c>
      <c r="D1003" s="7">
        <v>20</v>
      </c>
      <c r="E1003">
        <v>5.6000000000000008E-3</v>
      </c>
      <c r="F1003" s="1">
        <v>201</v>
      </c>
      <c r="G1003" s="1" t="str">
        <f>VLOOKUP(F1003,'Master(Ko Xóa)'!$F$2:$H$158,3,0)</f>
        <v>Out</v>
      </c>
      <c r="H1003" s="6" t="s">
        <v>13</v>
      </c>
      <c r="I1003" s="6" t="s">
        <v>1116</v>
      </c>
    </row>
    <row r="1004" spans="1:9">
      <c r="A1004" s="4">
        <v>1</v>
      </c>
      <c r="B1004" s="5" t="s">
        <v>1086</v>
      </c>
      <c r="C1004" s="6">
        <v>8699</v>
      </c>
      <c r="D1004" s="7">
        <v>20</v>
      </c>
      <c r="E1004">
        <v>0.01</v>
      </c>
      <c r="F1004" s="1">
        <v>201</v>
      </c>
      <c r="G1004" s="1" t="str">
        <f>VLOOKUP(F1004,'Master(Ko Xóa)'!$F$2:$H$158,3,0)</f>
        <v>Out</v>
      </c>
      <c r="H1004" s="6" t="s">
        <v>13</v>
      </c>
      <c r="I1004" s="6" t="s">
        <v>1116</v>
      </c>
    </row>
    <row r="1005" spans="1:9">
      <c r="A1005" s="4">
        <v>1</v>
      </c>
      <c r="B1005" s="5" t="s">
        <v>1087</v>
      </c>
      <c r="C1005" s="6">
        <v>8699</v>
      </c>
      <c r="D1005" s="7">
        <v>20</v>
      </c>
      <c r="E1005">
        <v>2.0200000000000003E-2</v>
      </c>
      <c r="F1005" s="1">
        <v>201</v>
      </c>
      <c r="G1005" s="1" t="str">
        <f>VLOOKUP(F1005,'Master(Ko Xóa)'!$F$2:$H$158,3,0)</f>
        <v>Out</v>
      </c>
      <c r="H1005" s="6" t="s">
        <v>13</v>
      </c>
      <c r="I1005" s="6" t="s">
        <v>1116</v>
      </c>
    </row>
    <row r="1006" spans="1:9">
      <c r="A1006" s="4">
        <v>1</v>
      </c>
      <c r="B1006" s="5" t="s">
        <v>1088</v>
      </c>
      <c r="C1006" s="6">
        <v>8699</v>
      </c>
      <c r="D1006" s="7">
        <v>10</v>
      </c>
      <c r="E1006">
        <v>0.11499999999999999</v>
      </c>
      <c r="F1006" s="1">
        <v>201</v>
      </c>
      <c r="G1006" s="1" t="str">
        <f>VLOOKUP(F1006,'Master(Ko Xóa)'!$F$2:$H$158,3,0)</f>
        <v>Out</v>
      </c>
      <c r="H1006" s="6" t="s">
        <v>13</v>
      </c>
      <c r="I1006" s="6" t="s">
        <v>1116</v>
      </c>
    </row>
    <row r="1007" spans="1:9">
      <c r="A1007" s="4">
        <v>1</v>
      </c>
      <c r="B1007" s="5" t="s">
        <v>1089</v>
      </c>
      <c r="C1007" s="6">
        <v>8699</v>
      </c>
      <c r="D1007" s="7">
        <v>1</v>
      </c>
      <c r="E1007">
        <v>1.55E-2</v>
      </c>
      <c r="F1007" s="1">
        <v>201</v>
      </c>
      <c r="G1007" s="1" t="str">
        <f>VLOOKUP(F1007,'Master(Ko Xóa)'!$F$2:$H$158,3,0)</f>
        <v>Out</v>
      </c>
      <c r="H1007" s="6" t="s">
        <v>13</v>
      </c>
      <c r="I1007" s="6" t="s">
        <v>1116</v>
      </c>
    </row>
    <row r="1008" spans="1:9">
      <c r="A1008" s="4">
        <v>1</v>
      </c>
      <c r="B1008" s="5" t="s">
        <v>1090</v>
      </c>
      <c r="C1008" s="6">
        <v>8699</v>
      </c>
      <c r="D1008" s="7">
        <v>1</v>
      </c>
      <c r="E1008">
        <v>1.771E-2</v>
      </c>
      <c r="F1008" s="1">
        <v>201</v>
      </c>
      <c r="G1008" s="1" t="str">
        <f>VLOOKUP(F1008,'Master(Ko Xóa)'!$F$2:$H$158,3,0)</f>
        <v>Out</v>
      </c>
      <c r="H1008" s="6" t="s">
        <v>13</v>
      </c>
      <c r="I1008" s="6" t="s">
        <v>1116</v>
      </c>
    </row>
    <row r="1009" spans="1:9">
      <c r="A1009" s="4">
        <v>1</v>
      </c>
      <c r="B1009" s="5" t="s">
        <v>1091</v>
      </c>
      <c r="C1009" s="6">
        <v>8699</v>
      </c>
      <c r="D1009" s="7">
        <v>20</v>
      </c>
      <c r="E1009">
        <v>2.2800000000000001E-2</v>
      </c>
      <c r="F1009" s="1">
        <v>201</v>
      </c>
      <c r="G1009" s="1" t="str">
        <f>VLOOKUP(F1009,'Master(Ko Xóa)'!$F$2:$H$158,3,0)</f>
        <v>Out</v>
      </c>
      <c r="H1009" s="6" t="s">
        <v>13</v>
      </c>
      <c r="I1009" s="6" t="s">
        <v>1116</v>
      </c>
    </row>
    <row r="1010" spans="1:9">
      <c r="A1010" s="4">
        <v>1</v>
      </c>
      <c r="B1010" s="5" t="s">
        <v>1092</v>
      </c>
      <c r="C1010" s="6">
        <v>8699</v>
      </c>
      <c r="D1010" s="7">
        <v>20</v>
      </c>
      <c r="E1010">
        <v>2.5800000000000003E-2</v>
      </c>
      <c r="F1010" s="1">
        <v>201</v>
      </c>
      <c r="G1010" s="1" t="str">
        <f>VLOOKUP(F1010,'Master(Ko Xóa)'!$F$2:$H$158,3,0)</f>
        <v>Out</v>
      </c>
      <c r="H1010" s="6" t="s">
        <v>13</v>
      </c>
      <c r="I1010" s="6" t="s">
        <v>1116</v>
      </c>
    </row>
    <row r="1011" spans="1:9">
      <c r="A1011" s="4">
        <v>1</v>
      </c>
      <c r="B1011" s="5" t="s">
        <v>1093</v>
      </c>
      <c r="C1011" s="6">
        <v>8699</v>
      </c>
      <c r="D1011" s="7">
        <v>20</v>
      </c>
      <c r="E1011">
        <v>4.58E-2</v>
      </c>
      <c r="F1011" s="1">
        <v>201</v>
      </c>
      <c r="G1011" s="1" t="str">
        <f>VLOOKUP(F1011,'Master(Ko Xóa)'!$F$2:$H$158,3,0)</f>
        <v>Out</v>
      </c>
      <c r="H1011" s="6" t="s">
        <v>13</v>
      </c>
      <c r="I1011" s="6" t="s">
        <v>1116</v>
      </c>
    </row>
    <row r="1012" spans="1:9">
      <c r="A1012" s="4">
        <v>1</v>
      </c>
      <c r="B1012" s="5" t="s">
        <v>1094</v>
      </c>
      <c r="C1012" s="6">
        <v>8699</v>
      </c>
      <c r="D1012" s="7">
        <v>20</v>
      </c>
      <c r="E1012">
        <v>1.44E-2</v>
      </c>
      <c r="F1012" s="1">
        <v>201</v>
      </c>
      <c r="G1012" s="1" t="str">
        <f>VLOOKUP(F1012,'Master(Ko Xóa)'!$F$2:$H$158,3,0)</f>
        <v>Out</v>
      </c>
      <c r="H1012" s="6" t="s">
        <v>13</v>
      </c>
      <c r="I1012" s="6" t="s">
        <v>1116</v>
      </c>
    </row>
    <row r="1013" spans="1:9">
      <c r="A1013" s="4">
        <v>1</v>
      </c>
      <c r="B1013" s="5" t="s">
        <v>1095</v>
      </c>
      <c r="C1013" s="6">
        <v>8699</v>
      </c>
      <c r="D1013" s="7">
        <v>20</v>
      </c>
      <c r="E1013">
        <v>0.03</v>
      </c>
      <c r="F1013" s="1">
        <v>201</v>
      </c>
      <c r="G1013" s="1" t="str">
        <f>VLOOKUP(F1013,'Master(Ko Xóa)'!$F$2:$H$158,3,0)</f>
        <v>Out</v>
      </c>
      <c r="H1013" s="6" t="s">
        <v>13</v>
      </c>
      <c r="I1013" s="6" t="s">
        <v>1116</v>
      </c>
    </row>
    <row r="1014" spans="1:9">
      <c r="A1014" s="4">
        <v>1</v>
      </c>
      <c r="B1014" s="5" t="s">
        <v>1096</v>
      </c>
      <c r="C1014" s="6">
        <v>8699</v>
      </c>
      <c r="D1014" s="7">
        <v>20</v>
      </c>
      <c r="E1014">
        <v>0.15859999999999999</v>
      </c>
      <c r="F1014" s="1">
        <v>201</v>
      </c>
      <c r="G1014" s="1" t="str">
        <f>VLOOKUP(F1014,'Master(Ko Xóa)'!$F$2:$H$158,3,0)</f>
        <v>Out</v>
      </c>
      <c r="H1014" s="6" t="s">
        <v>13</v>
      </c>
      <c r="I1014" s="6" t="s">
        <v>1116</v>
      </c>
    </row>
    <row r="1015" spans="1:9">
      <c r="A1015" s="4">
        <v>1</v>
      </c>
      <c r="B1015" s="5" t="s">
        <v>1097</v>
      </c>
      <c r="C1015" s="6">
        <v>8699</v>
      </c>
      <c r="D1015" s="7">
        <v>1</v>
      </c>
      <c r="E1015">
        <v>4.1000000000000002E-2</v>
      </c>
      <c r="F1015" s="1">
        <v>201</v>
      </c>
      <c r="G1015" s="1" t="str">
        <f>VLOOKUP(F1015,'Master(Ko Xóa)'!$F$2:$H$158,3,0)</f>
        <v>Out</v>
      </c>
      <c r="H1015" s="6" t="s">
        <v>13</v>
      </c>
      <c r="I1015" s="6" t="s">
        <v>1116</v>
      </c>
    </row>
    <row r="1016" spans="1:9">
      <c r="A1016" s="4">
        <v>1</v>
      </c>
      <c r="B1016" s="5" t="s">
        <v>1098</v>
      </c>
      <c r="C1016" s="6">
        <v>8699</v>
      </c>
      <c r="D1016" s="7">
        <v>1</v>
      </c>
      <c r="E1016">
        <v>0.19109999999999999</v>
      </c>
      <c r="F1016" s="1">
        <v>201</v>
      </c>
      <c r="G1016" s="1" t="str">
        <f>VLOOKUP(F1016,'Master(Ko Xóa)'!$F$2:$H$158,3,0)</f>
        <v>Out</v>
      </c>
      <c r="H1016" s="6" t="s">
        <v>13</v>
      </c>
      <c r="I1016" s="6" t="s">
        <v>1116</v>
      </c>
    </row>
    <row r="1017" spans="1:9">
      <c r="A1017" s="4">
        <v>1</v>
      </c>
      <c r="B1017" s="5" t="s">
        <v>1099</v>
      </c>
      <c r="C1017" s="6">
        <v>8699</v>
      </c>
      <c r="D1017" s="7">
        <v>2</v>
      </c>
      <c r="E1017">
        <v>0.06</v>
      </c>
      <c r="F1017" s="1">
        <v>201</v>
      </c>
      <c r="G1017" s="1" t="str">
        <f>VLOOKUP(F1017,'Master(Ko Xóa)'!$F$2:$H$158,3,0)</f>
        <v>Out</v>
      </c>
      <c r="H1017" s="6" t="s">
        <v>13</v>
      </c>
      <c r="I1017" s="6" t="s">
        <v>1116</v>
      </c>
    </row>
    <row r="1018" spans="1:9">
      <c r="A1018" s="4">
        <v>1</v>
      </c>
      <c r="B1018" s="5" t="s">
        <v>1100</v>
      </c>
      <c r="C1018" s="6">
        <v>8699</v>
      </c>
      <c r="D1018" s="7">
        <v>5</v>
      </c>
      <c r="E1018">
        <v>0.29644999999999999</v>
      </c>
      <c r="F1018" s="1">
        <v>201</v>
      </c>
      <c r="G1018" s="1" t="str">
        <f>VLOOKUP(F1018,'Master(Ko Xóa)'!$F$2:$H$158,3,0)</f>
        <v>Out</v>
      </c>
      <c r="H1018" s="6" t="s">
        <v>13</v>
      </c>
      <c r="I1018" s="6" t="s">
        <v>1116</v>
      </c>
    </row>
    <row r="1019" spans="1:9">
      <c r="A1019" s="4">
        <v>1</v>
      </c>
      <c r="B1019" s="5" t="s">
        <v>1101</v>
      </c>
      <c r="C1019" s="6">
        <v>8699</v>
      </c>
      <c r="D1019" s="7">
        <v>10</v>
      </c>
      <c r="E1019">
        <v>0.1</v>
      </c>
      <c r="F1019" s="1">
        <v>201</v>
      </c>
      <c r="G1019" s="1" t="str">
        <f>VLOOKUP(F1019,'Master(Ko Xóa)'!$F$2:$H$158,3,0)</f>
        <v>Out</v>
      </c>
      <c r="H1019" s="6" t="s">
        <v>13</v>
      </c>
      <c r="I1019" s="6" t="s">
        <v>1116</v>
      </c>
    </row>
    <row r="1020" spans="1:9">
      <c r="A1020" s="4">
        <v>1</v>
      </c>
      <c r="B1020" s="5" t="s">
        <v>1102</v>
      </c>
      <c r="C1020" s="6">
        <v>8699</v>
      </c>
      <c r="D1020" s="7">
        <v>1</v>
      </c>
      <c r="E1020">
        <v>4.5899999999999996E-2</v>
      </c>
      <c r="F1020" s="1">
        <v>201</v>
      </c>
      <c r="G1020" s="1" t="str">
        <f>VLOOKUP(F1020,'Master(Ko Xóa)'!$F$2:$H$158,3,0)</f>
        <v>Out</v>
      </c>
      <c r="H1020" s="6" t="s">
        <v>13</v>
      </c>
      <c r="I1020" s="6" t="s">
        <v>1116</v>
      </c>
    </row>
    <row r="1021" spans="1:9">
      <c r="A1021" s="4">
        <v>1</v>
      </c>
      <c r="B1021" s="5" t="s">
        <v>1103</v>
      </c>
      <c r="C1021" s="6">
        <v>8699</v>
      </c>
      <c r="D1021" s="7">
        <v>1</v>
      </c>
      <c r="E1021">
        <v>0.12079000000000001</v>
      </c>
      <c r="F1021" s="1">
        <v>201</v>
      </c>
      <c r="G1021" s="1" t="str">
        <f>VLOOKUP(F1021,'Master(Ko Xóa)'!$F$2:$H$158,3,0)</f>
        <v>Out</v>
      </c>
      <c r="H1021" s="6" t="s">
        <v>13</v>
      </c>
      <c r="I1021" s="6" t="s">
        <v>1116</v>
      </c>
    </row>
    <row r="1022" spans="1:9">
      <c r="A1022" s="4">
        <v>1</v>
      </c>
      <c r="B1022" s="5" t="s">
        <v>1104</v>
      </c>
      <c r="C1022" s="6">
        <v>8699</v>
      </c>
      <c r="D1022" s="7">
        <v>1</v>
      </c>
      <c r="E1022">
        <v>3.4840000000000003E-2</v>
      </c>
      <c r="F1022" s="1">
        <v>201</v>
      </c>
      <c r="G1022" s="1" t="str">
        <f>VLOOKUP(F1022,'Master(Ko Xóa)'!$F$2:$H$158,3,0)</f>
        <v>Out</v>
      </c>
      <c r="H1022" s="6" t="s">
        <v>13</v>
      </c>
      <c r="I1022" s="6" t="s">
        <v>1116</v>
      </c>
    </row>
  </sheetData>
  <conditionalFormatting sqref="B2:B1022">
    <cfRule type="expression" dxfId="4" priority="5">
      <formula>$A$2="Please go to form B"</formula>
    </cfRule>
  </conditionalFormatting>
  <conditionalFormatting sqref="C2:C1022">
    <cfRule type="expression" dxfId="3" priority="4">
      <formula>$A$2="Please go to form B"</formula>
    </cfRule>
  </conditionalFormatting>
  <conditionalFormatting sqref="D2:D1022">
    <cfRule type="expression" dxfId="2" priority="3">
      <formula>$A$2="Please go to form B"</formula>
    </cfRule>
  </conditionalFormatting>
  <conditionalFormatting sqref="H2:H1022">
    <cfRule type="expression" dxfId="1" priority="2">
      <formula>$A$2="Please go to form B"</formula>
    </cfRule>
  </conditionalFormatting>
  <conditionalFormatting sqref="I2:I1022">
    <cfRule type="expression" dxfId="0" priority="1">
      <formula>$A$2="Please go to form B"</formula>
    </cfRule>
  </conditionalFormatting>
  <dataValidations count="3">
    <dataValidation type="custom" allowBlank="1" showInputMessage="1" showErrorMessage="1" errorTitle="Name too long." error="Maximum Material name is 18 characters." sqref="B2:B1022" xr:uid="{4EA121FD-025C-41B7-A465-30300A54ABCA}">
      <formula1>LEN(B2)&lt;=18</formula1>
    </dataValidation>
    <dataValidation type="whole" operator="greaterThan" allowBlank="1" showInputMessage="1" showErrorMessage="1" errorTitle="Only number is accepted!" error="Please input number to this cell. Otherwise, contact Accounting Section for more help." sqref="D3:D1022" xr:uid="{0B52296B-B137-406C-BD4B-69D6EE93B218}">
      <formula1>0</formula1>
    </dataValidation>
    <dataValidation operator="greaterThan" allowBlank="1" showInputMessage="1" showErrorMessage="1" errorTitle="Only number is accepted!" error="Please input number to this cell. Otherwise, contact Accounting Section for more help." sqref="D2" xr:uid="{48AF6015-99B8-4428-94B5-0E192EAEA707}"/>
  </dataValidations>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'Master(Ko Xóa)'!$A$2:$A$25</xm:f>
          </x14:formula1>
          <xm:sqref>A2:A1022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796875" defaultRowHeight="14.5"/>
  <cols>
    <col min="6" max="6" width="4.81640625" bestFit="1" customWidth="1"/>
    <col min="7" max="7" width="27" customWidth="1"/>
  </cols>
  <sheetData>
    <row r="1" spans="1:15">
      <c r="A1" t="s">
        <v>19</v>
      </c>
      <c r="D1" t="s">
        <v>19</v>
      </c>
      <c r="E1" t="s">
        <v>20</v>
      </c>
      <c r="G1" t="s">
        <v>21</v>
      </c>
      <c r="H1" t="s">
        <v>22</v>
      </c>
    </row>
    <row r="2" spans="1:15">
      <c r="A2">
        <v>1</v>
      </c>
      <c r="D2">
        <v>1</v>
      </c>
      <c r="E2" t="s">
        <v>23</v>
      </c>
      <c r="F2">
        <v>201</v>
      </c>
      <c r="G2" t="s">
        <v>24</v>
      </c>
      <c r="H2" t="s">
        <v>25</v>
      </c>
      <c r="K2">
        <f>F2</f>
        <v>201</v>
      </c>
      <c r="N2" t="s">
        <v>20</v>
      </c>
      <c r="O2">
        <f>VLOOKUP(Sheet1!A2,'Master(Ko Xóa)'!$D$2:$K$158,8,0)</f>
        <v>201</v>
      </c>
    </row>
    <row r="3" spans="1:15">
      <c r="A3">
        <v>2</v>
      </c>
      <c r="D3">
        <v>1</v>
      </c>
      <c r="E3" t="s">
        <v>26</v>
      </c>
      <c r="F3">
        <v>202</v>
      </c>
      <c r="G3" t="s">
        <v>24</v>
      </c>
      <c r="H3" t="s">
        <v>12</v>
      </c>
      <c r="I3">
        <f>D3</f>
        <v>1</v>
      </c>
      <c r="J3">
        <f>F3</f>
        <v>202</v>
      </c>
      <c r="O3">
        <f>VLOOKUP(Sheet1!A2,'Master(Ko Xóa)'!$I$3:$J$147,2,0)</f>
        <v>202</v>
      </c>
    </row>
    <row r="4" spans="1:15">
      <c r="A4">
        <v>3</v>
      </c>
      <c r="D4">
        <v>2</v>
      </c>
      <c r="E4" t="s">
        <v>27</v>
      </c>
      <c r="F4">
        <v>291</v>
      </c>
      <c r="G4" t="s">
        <v>28</v>
      </c>
      <c r="H4" t="s">
        <v>25</v>
      </c>
      <c r="K4">
        <f>F4</f>
        <v>291</v>
      </c>
    </row>
    <row r="5" spans="1:15">
      <c r="A5">
        <v>4</v>
      </c>
      <c r="D5">
        <v>2</v>
      </c>
      <c r="E5" t="s">
        <v>29</v>
      </c>
      <c r="F5">
        <v>292</v>
      </c>
      <c r="G5" t="s">
        <v>28</v>
      </c>
      <c r="H5" t="s">
        <v>12</v>
      </c>
      <c r="I5">
        <f>D5</f>
        <v>2</v>
      </c>
      <c r="J5">
        <f>F5</f>
        <v>292</v>
      </c>
    </row>
    <row r="6" spans="1:15">
      <c r="A6">
        <v>5</v>
      </c>
      <c r="D6">
        <v>3</v>
      </c>
      <c r="E6" t="s">
        <v>30</v>
      </c>
      <c r="F6">
        <v>201</v>
      </c>
      <c r="G6" t="s">
        <v>31</v>
      </c>
      <c r="H6" t="s">
        <v>25</v>
      </c>
      <c r="K6">
        <f>F6</f>
        <v>201</v>
      </c>
    </row>
    <row r="7" spans="1:15">
      <c r="A7">
        <v>6</v>
      </c>
      <c r="D7">
        <v>3</v>
      </c>
      <c r="E7" t="s">
        <v>32</v>
      </c>
      <c r="F7">
        <v>202</v>
      </c>
      <c r="G7" t="s">
        <v>31</v>
      </c>
      <c r="H7" t="s">
        <v>12</v>
      </c>
      <c r="I7">
        <f>D7</f>
        <v>3</v>
      </c>
      <c r="J7">
        <f>F7</f>
        <v>202</v>
      </c>
    </row>
    <row r="8" spans="1:15">
      <c r="A8">
        <v>7</v>
      </c>
      <c r="D8">
        <v>4</v>
      </c>
      <c r="E8" t="s">
        <v>33</v>
      </c>
      <c r="F8">
        <v>201</v>
      </c>
      <c r="G8" t="s">
        <v>34</v>
      </c>
      <c r="H8" t="s">
        <v>25</v>
      </c>
      <c r="K8">
        <f>F8</f>
        <v>201</v>
      </c>
    </row>
    <row r="9" spans="1:15">
      <c r="A9">
        <v>8</v>
      </c>
      <c r="D9">
        <v>4</v>
      </c>
      <c r="E9" t="s">
        <v>35</v>
      </c>
      <c r="F9">
        <v>202</v>
      </c>
      <c r="G9" t="s">
        <v>34</v>
      </c>
      <c r="H9" t="s">
        <v>12</v>
      </c>
      <c r="I9">
        <f>D9</f>
        <v>4</v>
      </c>
      <c r="J9">
        <f>F9</f>
        <v>202</v>
      </c>
    </row>
    <row r="10" spans="1:15">
      <c r="A10">
        <v>9</v>
      </c>
      <c r="D10">
        <v>5</v>
      </c>
      <c r="E10" t="s">
        <v>36</v>
      </c>
      <c r="F10" t="s">
        <v>37</v>
      </c>
      <c r="G10" t="s">
        <v>38</v>
      </c>
      <c r="H10" t="s">
        <v>25</v>
      </c>
      <c r="K10" t="str">
        <f>F10</f>
        <v>mpa</v>
      </c>
    </row>
    <row r="11" spans="1:15">
      <c r="A11">
        <v>10</v>
      </c>
      <c r="D11">
        <v>5</v>
      </c>
      <c r="E11" t="s">
        <v>36</v>
      </c>
      <c r="F11" t="s">
        <v>37</v>
      </c>
      <c r="G11" t="s">
        <v>38</v>
      </c>
      <c r="H11" t="s">
        <v>12</v>
      </c>
      <c r="I11">
        <f>D11</f>
        <v>5</v>
      </c>
      <c r="J11" t="str">
        <f>F11</f>
        <v>mpa</v>
      </c>
    </row>
    <row r="12" spans="1:15">
      <c r="A12">
        <v>11</v>
      </c>
      <c r="D12">
        <v>6</v>
      </c>
      <c r="E12" t="s">
        <v>39</v>
      </c>
      <c r="F12">
        <v>551</v>
      </c>
      <c r="G12" t="s">
        <v>40</v>
      </c>
      <c r="H12" t="s">
        <v>25</v>
      </c>
      <c r="K12">
        <f>F12</f>
        <v>551</v>
      </c>
    </row>
    <row r="13" spans="1:15">
      <c r="A13">
        <v>12</v>
      </c>
      <c r="D13">
        <v>6</v>
      </c>
      <c r="E13" t="s">
        <v>41</v>
      </c>
      <c r="F13">
        <v>552</v>
      </c>
      <c r="G13" t="s">
        <v>40</v>
      </c>
      <c r="H13" t="s">
        <v>12</v>
      </c>
      <c r="I13">
        <f>D13</f>
        <v>6</v>
      </c>
      <c r="J13">
        <f>F13</f>
        <v>552</v>
      </c>
    </row>
    <row r="14" spans="1:15">
      <c r="A14">
        <v>13</v>
      </c>
      <c r="D14">
        <v>7</v>
      </c>
      <c r="E14" t="s">
        <v>42</v>
      </c>
      <c r="F14">
        <v>201</v>
      </c>
      <c r="G14" t="s">
        <v>43</v>
      </c>
      <c r="H14" t="s">
        <v>25</v>
      </c>
      <c r="K14">
        <f>F14</f>
        <v>201</v>
      </c>
    </row>
    <row r="15" spans="1:15">
      <c r="A15">
        <v>14</v>
      </c>
      <c r="D15">
        <v>7</v>
      </c>
      <c r="E15" t="s">
        <v>44</v>
      </c>
      <c r="F15">
        <v>202</v>
      </c>
      <c r="G15" t="s">
        <v>43</v>
      </c>
      <c r="H15" t="s">
        <v>12</v>
      </c>
      <c r="I15">
        <f>D15</f>
        <v>7</v>
      </c>
      <c r="J15">
        <f>F15</f>
        <v>202</v>
      </c>
    </row>
    <row r="16" spans="1:15">
      <c r="A16">
        <v>15</v>
      </c>
      <c r="D16">
        <v>8</v>
      </c>
      <c r="E16" t="s">
        <v>45</v>
      </c>
      <c r="F16">
        <v>201</v>
      </c>
      <c r="G16" t="s">
        <v>46</v>
      </c>
      <c r="H16" t="s">
        <v>25</v>
      </c>
      <c r="K16">
        <f>F16</f>
        <v>201</v>
      </c>
    </row>
    <row r="17" spans="1:11">
      <c r="A17">
        <v>16</v>
      </c>
      <c r="D17">
        <v>8</v>
      </c>
      <c r="E17" t="s">
        <v>47</v>
      </c>
      <c r="F17">
        <v>202</v>
      </c>
      <c r="G17" t="s">
        <v>46</v>
      </c>
      <c r="H17" t="s">
        <v>12</v>
      </c>
      <c r="I17">
        <f>D17</f>
        <v>8</v>
      </c>
      <c r="J17">
        <f>F17</f>
        <v>202</v>
      </c>
    </row>
    <row r="18" spans="1:11">
      <c r="A18">
        <v>17</v>
      </c>
      <c r="D18">
        <v>9</v>
      </c>
      <c r="E18" t="s">
        <v>48</v>
      </c>
      <c r="F18">
        <v>201</v>
      </c>
      <c r="G18" t="s">
        <v>49</v>
      </c>
      <c r="H18" t="s">
        <v>25</v>
      </c>
      <c r="K18">
        <f>F18</f>
        <v>201</v>
      </c>
    </row>
    <row r="19" spans="1:11">
      <c r="A19">
        <v>18</v>
      </c>
      <c r="D19">
        <v>9</v>
      </c>
      <c r="E19" t="s">
        <v>50</v>
      </c>
      <c r="F19">
        <v>202</v>
      </c>
      <c r="G19" t="s">
        <v>49</v>
      </c>
      <c r="H19" t="s">
        <v>12</v>
      </c>
      <c r="I19">
        <f>D19</f>
        <v>9</v>
      </c>
      <c r="J19">
        <f>F19</f>
        <v>202</v>
      </c>
    </row>
    <row r="20" spans="1:11">
      <c r="A20">
        <v>19</v>
      </c>
      <c r="D20">
        <v>10</v>
      </c>
      <c r="E20" t="s">
        <v>51</v>
      </c>
      <c r="F20">
        <v>201</v>
      </c>
      <c r="G20" t="s">
        <v>52</v>
      </c>
      <c r="H20" t="s">
        <v>25</v>
      </c>
      <c r="K20">
        <f>F20</f>
        <v>201</v>
      </c>
    </row>
    <row r="21" spans="1:11">
      <c r="A21">
        <v>20</v>
      </c>
      <c r="D21">
        <v>10</v>
      </c>
      <c r="E21" t="s">
        <v>53</v>
      </c>
      <c r="F21">
        <v>202</v>
      </c>
      <c r="G21" t="s">
        <v>52</v>
      </c>
      <c r="H21" t="s">
        <v>12</v>
      </c>
      <c r="I21">
        <f>D21</f>
        <v>10</v>
      </c>
      <c r="J21">
        <f>F21</f>
        <v>202</v>
      </c>
    </row>
    <row r="22" spans="1:11">
      <c r="A22">
        <v>21</v>
      </c>
      <c r="D22">
        <v>11</v>
      </c>
      <c r="E22" t="s">
        <v>54</v>
      </c>
      <c r="F22">
        <v>201</v>
      </c>
      <c r="G22" t="s">
        <v>55</v>
      </c>
      <c r="H22" t="s">
        <v>25</v>
      </c>
      <c r="K22">
        <f>F22</f>
        <v>201</v>
      </c>
    </row>
    <row r="23" spans="1:11">
      <c r="A23">
        <v>22</v>
      </c>
      <c r="D23">
        <v>11</v>
      </c>
      <c r="E23" t="s">
        <v>56</v>
      </c>
      <c r="F23">
        <v>202</v>
      </c>
      <c r="G23" t="s">
        <v>55</v>
      </c>
      <c r="H23" t="s">
        <v>12</v>
      </c>
      <c r="I23">
        <f>D23</f>
        <v>11</v>
      </c>
      <c r="J23">
        <f>F23</f>
        <v>202</v>
      </c>
    </row>
    <row r="24" spans="1:11">
      <c r="A24">
        <v>23</v>
      </c>
      <c r="D24">
        <v>12</v>
      </c>
      <c r="E24" t="s">
        <v>57</v>
      </c>
      <c r="F24">
        <v>201</v>
      </c>
      <c r="G24" t="s">
        <v>58</v>
      </c>
      <c r="H24" t="s">
        <v>25</v>
      </c>
      <c r="K24">
        <f>F24</f>
        <v>201</v>
      </c>
    </row>
    <row r="25" spans="1:11">
      <c r="A25">
        <v>25</v>
      </c>
      <c r="D25">
        <v>12</v>
      </c>
      <c r="E25" t="s">
        <v>59</v>
      </c>
      <c r="F25">
        <v>202</v>
      </c>
      <c r="G25" t="s">
        <v>58</v>
      </c>
      <c r="H25" t="s">
        <v>12</v>
      </c>
      <c r="I25">
        <f>D25</f>
        <v>12</v>
      </c>
      <c r="J25">
        <f>F25</f>
        <v>202</v>
      </c>
    </row>
    <row r="26" spans="1:11">
      <c r="D26">
        <v>13</v>
      </c>
      <c r="E26" t="s">
        <v>60</v>
      </c>
      <c r="F26">
        <v>201</v>
      </c>
      <c r="G26" t="s">
        <v>61</v>
      </c>
      <c r="H26" t="s">
        <v>25</v>
      </c>
      <c r="K26">
        <f>F26</f>
        <v>201</v>
      </c>
    </row>
    <row r="27" spans="1:11">
      <c r="D27">
        <v>13</v>
      </c>
      <c r="E27" t="s">
        <v>62</v>
      </c>
      <c r="F27">
        <v>202</v>
      </c>
      <c r="G27" t="s">
        <v>61</v>
      </c>
      <c r="H27" t="s">
        <v>12</v>
      </c>
      <c r="I27">
        <f>D27</f>
        <v>13</v>
      </c>
      <c r="J27">
        <f>F27</f>
        <v>202</v>
      </c>
    </row>
    <row r="28" spans="1:11">
      <c r="D28">
        <v>14</v>
      </c>
      <c r="E28" t="s">
        <v>63</v>
      </c>
      <c r="F28">
        <v>201</v>
      </c>
      <c r="G28" t="s">
        <v>64</v>
      </c>
      <c r="H28" t="s">
        <v>25</v>
      </c>
      <c r="K28">
        <f>F28</f>
        <v>201</v>
      </c>
    </row>
    <row r="29" spans="1:11">
      <c r="D29">
        <v>14</v>
      </c>
      <c r="E29" t="s">
        <v>65</v>
      </c>
      <c r="F29">
        <v>202</v>
      </c>
      <c r="G29" t="s">
        <v>64</v>
      </c>
      <c r="H29" t="s">
        <v>12</v>
      </c>
      <c r="I29">
        <f>D29</f>
        <v>14</v>
      </c>
      <c r="J29">
        <f>F29</f>
        <v>202</v>
      </c>
    </row>
    <row r="30" spans="1:11">
      <c r="D30">
        <v>15</v>
      </c>
      <c r="E30" t="s">
        <v>66</v>
      </c>
      <c r="F30">
        <v>201</v>
      </c>
      <c r="G30" t="s">
        <v>67</v>
      </c>
      <c r="H30" t="s">
        <v>25</v>
      </c>
      <c r="K30">
        <f>F30</f>
        <v>201</v>
      </c>
    </row>
    <row r="31" spans="1:11">
      <c r="D31">
        <v>15</v>
      </c>
      <c r="E31" t="s">
        <v>68</v>
      </c>
      <c r="F31">
        <v>202</v>
      </c>
      <c r="G31" t="s">
        <v>67</v>
      </c>
      <c r="H31" t="s">
        <v>12</v>
      </c>
      <c r="I31">
        <f>D31</f>
        <v>15</v>
      </c>
      <c r="J31">
        <f>F31</f>
        <v>202</v>
      </c>
    </row>
    <row r="32" spans="1:11">
      <c r="D32">
        <v>16</v>
      </c>
      <c r="E32" t="s">
        <v>69</v>
      </c>
      <c r="F32">
        <v>201</v>
      </c>
      <c r="G32" t="s">
        <v>70</v>
      </c>
      <c r="H32" t="s">
        <v>25</v>
      </c>
      <c r="K32">
        <f>F32</f>
        <v>201</v>
      </c>
    </row>
    <row r="33" spans="4:11">
      <c r="D33">
        <v>16</v>
      </c>
      <c r="E33" t="s">
        <v>71</v>
      </c>
      <c r="F33">
        <v>202</v>
      </c>
      <c r="G33" t="s">
        <v>70</v>
      </c>
      <c r="H33" t="s">
        <v>12</v>
      </c>
      <c r="I33">
        <f>D33</f>
        <v>16</v>
      </c>
      <c r="J33">
        <f>F33</f>
        <v>202</v>
      </c>
    </row>
    <row r="34" spans="4:11">
      <c r="D34">
        <v>16</v>
      </c>
      <c r="E34" t="s">
        <v>72</v>
      </c>
      <c r="F34">
        <v>201</v>
      </c>
      <c r="G34" t="s">
        <v>70</v>
      </c>
      <c r="H34" t="s">
        <v>25</v>
      </c>
      <c r="K34">
        <f>F34</f>
        <v>201</v>
      </c>
    </row>
    <row r="35" spans="4:11">
      <c r="D35">
        <v>17</v>
      </c>
      <c r="E35" t="s">
        <v>73</v>
      </c>
      <c r="F35">
        <v>701</v>
      </c>
      <c r="G35" t="s">
        <v>74</v>
      </c>
      <c r="H35" t="s">
        <v>12</v>
      </c>
      <c r="I35">
        <f>D35</f>
        <v>17</v>
      </c>
      <c r="J35">
        <f>F35</f>
        <v>701</v>
      </c>
    </row>
    <row r="36" spans="4:11">
      <c r="D36">
        <v>17</v>
      </c>
      <c r="E36" t="s">
        <v>75</v>
      </c>
      <c r="F36">
        <v>702</v>
      </c>
      <c r="G36" t="s">
        <v>74</v>
      </c>
      <c r="H36" t="s">
        <v>25</v>
      </c>
      <c r="K36">
        <f>F36</f>
        <v>702</v>
      </c>
    </row>
    <row r="37" spans="4:11">
      <c r="D37">
        <v>18</v>
      </c>
      <c r="E37" t="s">
        <v>76</v>
      </c>
      <c r="F37">
        <v>701</v>
      </c>
      <c r="G37" t="s">
        <v>77</v>
      </c>
      <c r="H37" t="s">
        <v>12</v>
      </c>
      <c r="I37">
        <f>D37</f>
        <v>18</v>
      </c>
      <c r="J37">
        <f>F37</f>
        <v>701</v>
      </c>
    </row>
    <row r="38" spans="4:11">
      <c r="D38">
        <v>18</v>
      </c>
      <c r="E38" t="s">
        <v>78</v>
      </c>
      <c r="F38">
        <v>702</v>
      </c>
      <c r="G38" t="s">
        <v>77</v>
      </c>
      <c r="H38" t="s">
        <v>25</v>
      </c>
      <c r="K38">
        <f t="shared" ref="K38:K39" si="0">F38</f>
        <v>702</v>
      </c>
    </row>
    <row r="39" spans="4:11">
      <c r="D39">
        <v>19</v>
      </c>
      <c r="E39" t="s">
        <v>79</v>
      </c>
      <c r="F39">
        <v>555</v>
      </c>
      <c r="G39" t="s">
        <v>80</v>
      </c>
      <c r="H39" t="s">
        <v>25</v>
      </c>
      <c r="K39">
        <f t="shared" si="0"/>
        <v>555</v>
      </c>
    </row>
    <row r="40" spans="4:11">
      <c r="D40">
        <v>19</v>
      </c>
      <c r="E40" t="s">
        <v>81</v>
      </c>
      <c r="F40">
        <v>556</v>
      </c>
      <c r="G40" t="s">
        <v>80</v>
      </c>
      <c r="H40" t="s">
        <v>12</v>
      </c>
      <c r="I40">
        <f>D40</f>
        <v>19</v>
      </c>
      <c r="J40">
        <f>F40</f>
        <v>556</v>
      </c>
    </row>
    <row r="41" spans="4:11">
      <c r="D41">
        <v>20</v>
      </c>
      <c r="E41" t="s">
        <v>82</v>
      </c>
      <c r="F41">
        <v>555</v>
      </c>
      <c r="G41" t="s">
        <v>83</v>
      </c>
      <c r="H41" t="s">
        <v>25</v>
      </c>
      <c r="K41">
        <f>F41</f>
        <v>555</v>
      </c>
    </row>
    <row r="42" spans="4:11">
      <c r="D42">
        <v>20</v>
      </c>
      <c r="E42" t="s">
        <v>84</v>
      </c>
      <c r="F42">
        <v>556</v>
      </c>
      <c r="G42" t="s">
        <v>83</v>
      </c>
      <c r="H42" t="s">
        <v>12</v>
      </c>
      <c r="I42">
        <f>D42</f>
        <v>20</v>
      </c>
      <c r="J42">
        <f>F42</f>
        <v>556</v>
      </c>
    </row>
    <row r="43" spans="4:11">
      <c r="D43">
        <v>21</v>
      </c>
      <c r="E43" t="s">
        <v>85</v>
      </c>
      <c r="F43">
        <v>201</v>
      </c>
      <c r="G43" t="s">
        <v>86</v>
      </c>
      <c r="H43" t="s">
        <v>25</v>
      </c>
      <c r="K43">
        <f>F43</f>
        <v>201</v>
      </c>
    </row>
    <row r="44" spans="4:11">
      <c r="D44">
        <v>21</v>
      </c>
      <c r="E44" t="s">
        <v>87</v>
      </c>
      <c r="F44">
        <v>202</v>
      </c>
      <c r="G44" t="s">
        <v>86</v>
      </c>
      <c r="H44" t="s">
        <v>12</v>
      </c>
      <c r="I44">
        <f>D44</f>
        <v>21</v>
      </c>
      <c r="J44">
        <f>F44</f>
        <v>202</v>
      </c>
    </row>
    <row r="45" spans="4:11">
      <c r="D45">
        <v>22</v>
      </c>
      <c r="E45" t="s">
        <v>88</v>
      </c>
      <c r="F45">
        <v>201</v>
      </c>
      <c r="G45" t="s">
        <v>89</v>
      </c>
      <c r="H45" t="s">
        <v>25</v>
      </c>
      <c r="K45">
        <f>F45</f>
        <v>201</v>
      </c>
    </row>
    <row r="46" spans="4:11">
      <c r="D46">
        <v>22</v>
      </c>
      <c r="E46" t="s">
        <v>90</v>
      </c>
      <c r="F46">
        <v>202</v>
      </c>
      <c r="G46" t="s">
        <v>89</v>
      </c>
      <c r="H46" t="s">
        <v>12</v>
      </c>
      <c r="I46">
        <f>D46</f>
        <v>22</v>
      </c>
      <c r="J46">
        <f>F46</f>
        <v>202</v>
      </c>
    </row>
    <row r="47" spans="4:11">
      <c r="D47">
        <v>23</v>
      </c>
      <c r="E47" t="s">
        <v>91</v>
      </c>
      <c r="F47">
        <v>201</v>
      </c>
      <c r="G47" t="s">
        <v>92</v>
      </c>
      <c r="H47" t="s">
        <v>25</v>
      </c>
      <c r="K47">
        <f>F47</f>
        <v>201</v>
      </c>
    </row>
    <row r="48" spans="4:11">
      <c r="D48">
        <v>23</v>
      </c>
      <c r="E48" t="s">
        <v>93</v>
      </c>
      <c r="F48">
        <v>202</v>
      </c>
      <c r="G48" t="s">
        <v>92</v>
      </c>
      <c r="H48" t="s">
        <v>12</v>
      </c>
      <c r="I48">
        <f>D48</f>
        <v>23</v>
      </c>
      <c r="J48">
        <f>F48</f>
        <v>202</v>
      </c>
    </row>
    <row r="49" spans="4:11">
      <c r="D49">
        <v>25</v>
      </c>
      <c r="E49" t="s">
        <v>94</v>
      </c>
      <c r="F49">
        <v>559</v>
      </c>
      <c r="G49" t="s">
        <v>95</v>
      </c>
      <c r="H49" t="s">
        <v>25</v>
      </c>
      <c r="K49">
        <f>F49</f>
        <v>559</v>
      </c>
    </row>
    <row r="50" spans="4:11">
      <c r="D50">
        <v>25</v>
      </c>
      <c r="E50" t="s">
        <v>96</v>
      </c>
      <c r="F50">
        <v>560</v>
      </c>
      <c r="G50" t="s">
        <v>95</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Nhung Nguyen Thi</cp:lastModifiedBy>
  <dcterms:created xsi:type="dcterms:W3CDTF">2021-07-20T07:38:07Z</dcterms:created>
  <dcterms:modified xsi:type="dcterms:W3CDTF">2026-01-27T09:59:58Z</dcterms:modified>
</cp:coreProperties>
</file>