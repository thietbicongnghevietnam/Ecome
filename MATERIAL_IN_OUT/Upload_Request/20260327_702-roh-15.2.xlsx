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70K6885\Desktop\MCS\"/>
    </mc:Choice>
  </mc:AlternateContent>
  <xr:revisionPtr revIDLastSave="0" documentId="13_ncr:1_{06945C00-0236-465A-8292-CB4DEBCDAD92}"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 name="_xlnm._FilterDatabase" localSheetId="0" hidden="1">Sheet1!$A$1:$S$76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O3" i="2" l="1"/>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family val="2"/>
          </rPr>
          <t>NGUYEN NHU_Minh:</t>
        </r>
        <r>
          <rPr>
            <sz val="9"/>
            <color indexed="81"/>
            <rFont val="Tahoma"/>
            <family val="2"/>
          </rPr>
          <t xml:space="preserve">
Bộ phận tự điền</t>
        </r>
      </text>
    </comment>
    <comment ref="F1" authorId="1" shapeId="0" xr:uid="{9BF479D2-CB8A-481D-AF24-AF1C5700A377}">
      <text>
        <r>
          <rPr>
            <b/>
            <sz val="9"/>
            <color indexed="81"/>
            <rFont val="Tahoma"/>
            <family val="2"/>
          </rPr>
          <t>NGUYEN NHU_Minh:</t>
        </r>
        <r>
          <rPr>
            <sz val="9"/>
            <color indexed="81"/>
            <rFont val="Tahoma"/>
            <family val="2"/>
          </rPr>
          <t xml:space="preserve">
Bộ phận bắt buộc phải điền</t>
        </r>
      </text>
    </comment>
    <comment ref="L1" authorId="1" shapeId="0" xr:uid="{6C093821-3E40-4812-A057-7C64E5C662EA}">
      <text>
        <r>
          <rPr>
            <b/>
            <sz val="9"/>
            <color indexed="81"/>
            <rFont val="Tahoma"/>
            <family val="2"/>
          </rPr>
          <t>NGUYEN NHU_Minh: Bộ phận tự điền</t>
        </r>
      </text>
    </comment>
    <comment ref="M1" authorId="1" shapeId="0" xr:uid="{6124359F-64FB-4EE1-8ED9-A0E0DFD9A9E3}">
      <text>
        <r>
          <rPr>
            <b/>
            <sz val="9"/>
            <color indexed="81"/>
            <rFont val="Tahoma"/>
            <family val="2"/>
          </rPr>
          <t>NGUYEN NHU_Minh:</t>
        </r>
        <r>
          <rPr>
            <sz val="9"/>
            <color indexed="81"/>
            <rFont val="Tahoma"/>
            <family val="2"/>
          </rPr>
          <t xml:space="preserve">
Bắt buộc phải nhập</t>
        </r>
      </text>
    </comment>
    <comment ref="R1" authorId="0" shapeId="0" xr:uid="{00000000-0006-0000-0000-000002000000}">
      <text>
        <r>
          <rPr>
            <sz val="9"/>
            <color indexed="81"/>
            <rFont val="Tahoma"/>
            <family val="2"/>
          </rPr>
          <t xml:space="preserve">Input RQ cần RQ Reset
</t>
        </r>
      </text>
    </comment>
    <comment ref="S1" authorId="1" shapeId="0" xr:uid="{13B94D4D-3BCD-42E5-A0CF-AE30242ECCC8}">
      <text>
        <r>
          <rPr>
            <b/>
            <sz val="9"/>
            <color indexed="81"/>
            <rFont val="Tahoma"/>
            <family val="2"/>
          </rPr>
          <t>NGUYEN NHU_Minh:</t>
        </r>
        <r>
          <rPr>
            <sz val="9"/>
            <color indexed="81"/>
            <rFont val="Tahoma"/>
            <family val="2"/>
          </rPr>
          <t xml:space="preserve">
bắt buộc nhập cho Type SAP cho bộ phận PMS</t>
        </r>
      </text>
    </comment>
  </commentList>
</comments>
</file>

<file path=xl/sharedStrings.xml><?xml version="1.0" encoding="utf-8"?>
<sst xmlns="http://schemas.openxmlformats.org/spreadsheetml/2006/main" count="778" uniqueCount="183">
  <si>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</si>
  <si>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</si>
  <si>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</si>
  <si>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</si>
  <si>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</si>
  <si>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</si>
  <si>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</si>
  <si>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</si>
  <si>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</si>
  <si>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</si>
  <si>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</si>
  <si>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</si>
  <si>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</si>
  <si>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</si>
  <si>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</si>
  <si>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</si>
  <si>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</si>
  <si>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</si>
  <si>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</si>
  <si>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</si>
  <si>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</si>
  <si>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</si>
  <si>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</si>
  <si>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</si>
  <si>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</si>
  <si>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</si>
  <si>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</si>
  <si>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</si>
  <si>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</si>
  <si>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</si>
  <si>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</si>
  <si>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</si>
  <si>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</si>
  <si>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</si>
  <si>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</si>
  <si>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</si>
  <si>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</si>
  <si>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</si>
  <si>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</si>
  <si>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</si>
  <si>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</si>
  <si>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</si>
  <si>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</si>
  <si>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</si>
  <si>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</si>
  <si>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</si>
  <si>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</si>
  <si>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</si>
  <si>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</si>
  <si>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</si>
  <si>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</si>
  <si>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</si>
  <si>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</si>
  <si>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</si>
  <si>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</si>
  <si>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</si>
  <si>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</si>
  <si>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</si>
  <si>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</si>
  <si>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</si>
  <si>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</si>
  <si>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</si>
  <si>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</si>
  <si>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</si>
  <si>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</si>
  <si>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</si>
  <si>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</si>
  <si>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</si>
  <si>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</si>
  <si>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</si>
  <si>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</si>
  <si>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</si>
  <si>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</si>
  <si>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</si>
  <si>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</si>
  <si>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</si>
  <si>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</si>
  <si>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</si>
  <si>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</si>
  <si>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</si>
  <si>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</si>
  <si>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</si>
  <si>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</si>
  <si>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</si>
  <si>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</si>
  <si>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</si>
  <si>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</si>
  <si>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</si>
  <si>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</si>
  <si>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</si>
  <si>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</si>
  <si>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</si>
  <si>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</si>
  <si>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</si>
  <si>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STprice</t>
  </si>
  <si>
    <t>NameCode</t>
  </si>
  <si>
    <t>Reason</t>
  </si>
  <si>
    <t>TypeSapPMS</t>
  </si>
  <si>
    <t>Sub</t>
  </si>
  <si>
    <t>Other</t>
  </si>
  <si>
    <t>Scrap</t>
  </si>
  <si>
    <t>Sloc98</t>
  </si>
  <si>
    <t>Roh</t>
  </si>
  <si>
    <t>VR01</t>
  </si>
  <si>
    <t>1D88</t>
  </si>
  <si>
    <t>Shortage in Line but cannot claim Vendor</t>
  </si>
  <si>
    <t>1ADB00</t>
  </si>
  <si>
    <t>TEL</t>
  </si>
  <si>
    <t>PQHA10023ZA/V1</t>
  </si>
  <si>
    <t>XZB07X09C03/V1</t>
  </si>
  <si>
    <t>PNBC1354ZA1K108/V1</t>
  </si>
  <si>
    <t>PNBC1563ZA1K108/V2</t>
  </si>
  <si>
    <t>PNBC1593ZA1K108/M1</t>
  </si>
  <si>
    <t>PNBC1594ZA1K108/M1</t>
  </si>
  <si>
    <t>PNGP1138ZB1C100/V2</t>
  </si>
  <si>
    <t>PNGP1138ZB2C100/V2</t>
  </si>
  <si>
    <t>PNGP1331XA9C100/V2</t>
  </si>
  <si>
    <t>PNGP1331ZAAC100/V2</t>
  </si>
  <si>
    <t>PNGP1349ZA1C100/V1</t>
  </si>
  <si>
    <t>PNGP1363ZA1C100/M1</t>
  </si>
  <si>
    <t>PNGP1364ZA1C100/V1</t>
  </si>
  <si>
    <t>PNGTB123ZA/V1</t>
  </si>
  <si>
    <t>PNHR1950ZA/V1</t>
  </si>
  <si>
    <t>PNHR2082ZA/M1</t>
  </si>
  <si>
    <t>PNHR2087ZA/M1</t>
  </si>
  <si>
    <t>PNHS1001ZB/V1</t>
  </si>
  <si>
    <t>PNHS1502ZB/M1</t>
  </si>
  <si>
    <t>PNHS1622ZA/V2</t>
  </si>
  <si>
    <t>PNHS1691YA/V2</t>
  </si>
  <si>
    <t>PNHS1697ZA/V1</t>
  </si>
  <si>
    <t>PNJA1184ZA-TI</t>
  </si>
  <si>
    <t>PNJA1192ZA-TI</t>
  </si>
  <si>
    <t>PNJC1018ZB/Z1</t>
  </si>
  <si>
    <t>PNJJ021001ZA-WJ</t>
  </si>
  <si>
    <t>PNJK1114SA/V1</t>
  </si>
  <si>
    <t>PNJK1114ZA/V1</t>
  </si>
  <si>
    <t>PNJK1229ZA/V1</t>
  </si>
  <si>
    <t>PNJK1239ZA/V1</t>
  </si>
  <si>
    <t>PNJK1250ZA/V1</t>
  </si>
  <si>
    <t>PNJT1063ZA/Z1</t>
  </si>
  <si>
    <t>PNJT1182ZA/M2</t>
  </si>
  <si>
    <t>PNJT1204ZA/V1</t>
  </si>
  <si>
    <t>PNJT1205ZA/V1</t>
  </si>
  <si>
    <t>PNKE2033ZB1K108/M1</t>
  </si>
  <si>
    <t>PNKF1137ZA2H577/V3</t>
  </si>
  <si>
    <t>PNKF1280YD1K108/M1</t>
  </si>
  <si>
    <t>PNKF1369ZB1K108/M1</t>
  </si>
  <si>
    <t>PNKF1371ZB1K108/M1</t>
  </si>
  <si>
    <t>PNKM1186ZA2W252/V3</t>
  </si>
  <si>
    <t>PNKM1555ZA1K108/V3</t>
  </si>
  <si>
    <t>PNKM1605ZA1MA15/M1</t>
  </si>
  <si>
    <t>PNKM1605ZA4MA15/M1</t>
  </si>
  <si>
    <t>PNKM1607ZB1MA15/M1</t>
  </si>
  <si>
    <t>PNKM1609ZA3H169/M1</t>
  </si>
  <si>
    <t>PNKM1609ZB1K108/M1</t>
  </si>
  <si>
    <t>PNMH1308ZA/M1</t>
  </si>
  <si>
    <t>PNMH1335ZA/V1</t>
  </si>
  <si>
    <t>PNPD1889ZA/V3</t>
  </si>
  <si>
    <t>PNPD2346ZA/V1</t>
  </si>
  <si>
    <t>PNPD2347ZA/V1</t>
  </si>
  <si>
    <t>PNPK3839027PA/V6</t>
  </si>
  <si>
    <t>PNPK3865010PA/V3</t>
  </si>
  <si>
    <t>PNPK3895010PA/V5</t>
  </si>
  <si>
    <t>PNPK3896012PA/V5</t>
  </si>
  <si>
    <t>PNPK4331001ZA/V2</t>
  </si>
  <si>
    <t>PNQA1902ZA/V1</t>
  </si>
  <si>
    <t>PNQA8791ZA/V1</t>
  </si>
  <si>
    <t>PNQW4276ZA/V1</t>
  </si>
  <si>
    <t>PNVE1011ZG/Z1</t>
  </si>
  <si>
    <t>PNVE1015ZH/Z1</t>
  </si>
  <si>
    <t>PNVE1021ZA/V1</t>
  </si>
  <si>
    <t>PNYE1042ZB/V1</t>
  </si>
  <si>
    <t>PNYE1050ZA/V2</t>
  </si>
  <si>
    <t>PNYE1131ZA/V3</t>
  </si>
  <si>
    <t>PNYE1132ZB/V1</t>
  </si>
  <si>
    <t>PNYE7745ZA/V1</t>
  </si>
  <si>
    <t>PNYE7746ZB/M1</t>
  </si>
  <si>
    <t>PNYF1129XA3H577/V2</t>
  </si>
  <si>
    <t>PQHG10729ZC/V1</t>
  </si>
  <si>
    <t>PQPP10152ZA/M1</t>
  </si>
  <si>
    <t>PQPP10152ZA/V1</t>
  </si>
  <si>
    <t>XZB10X15A04-LP</t>
  </si>
  <si>
    <t>XZB13X19C03/V1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</si>
</sst>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xf numFmtId="49" fontId="0" fillId="0" borderId="0" xfId="0" quotePrefix="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6"/>
  <sheetViews>
    <sheetView tabSelected="1" workbookViewId="0">
      <pane xSplit="8" ySplit="1" topLeftCell="I2" activePane="bottomRight" state="frozen"/>
      <selection pane="topRight" activeCell="I1" sqref="I1"/>
      <selection pane="bottomLeft" activeCell="A3" sqref="A3"/>
      <selection pane="bottomRight" activeCell="D7" sqref="D7"/>
    </sheetView>
  </sheetViews>
  <sheetFormatPr defaultRowHeight="15" x14ac:dyDescent="0.25"/>
  <cols>
    <col min="1" max="1" width="9.5703125" customWidth="1"/>
    <col min="2" max="2" width="29.42578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 min="19" max="19" width="14.7109375" customWidth="1"/>
  </cols>
  <sheetData>
    <row r="1" spans="1:19" ht="33.75" customHeight="1" x14ac:dyDescent="0.25">
      <c r="A1" s="2" t="s">
        <v>2</v>
      </c>
      <c r="B1" s="2" t="s">
        <v>1</v>
      </c>
      <c r="C1" s="5" t="s">
        <v>93</v>
      </c>
      <c r="D1" s="2" t="s">
        <v>0</v>
      </c>
      <c r="E1" s="2" t="s">
        <v>6</v>
      </c>
      <c r="F1" s="5" t="s">
        <v>94</v>
      </c>
      <c r="G1" s="2" t="s">
        <v>9</v>
      </c>
      <c r="H1" s="2" t="s">
        <v>3</v>
      </c>
      <c r="I1" s="2" t="s">
        <v>10</v>
      </c>
      <c r="J1" s="2" t="s">
        <v>4</v>
      </c>
      <c r="K1" s="2" t="s">
        <v>5</v>
      </c>
      <c r="L1" s="5" t="s">
        <v>95</v>
      </c>
      <c r="M1" s="5" t="s">
        <v>96</v>
      </c>
      <c r="N1" s="2" t="s">
        <v>7</v>
      </c>
      <c r="O1" s="2" t="s">
        <v>8</v>
      </c>
      <c r="P1" s="2" t="s">
        <v>13</v>
      </c>
      <c r="Q1" s="2" t="s">
        <v>14</v>
      </c>
      <c r="R1" s="3" t="s">
        <v>11</v>
      </c>
      <c r="S1" s="3" t="s">
        <v>97</v>
      </c>
    </row>
    <row r="2" spans="1:19" x14ac:dyDescent="0.25">
      <c r="A2" s="4">
        <v>15.2</v>
      </c>
      <c r="B2" t="s">
        <v>110</v>
      </c>
      <c r="C2" s="6" t="s">
        <v>102</v>
      </c>
      <c r="D2" s="7" t="s">
        <v>104</v>
      </c>
      <c r="E2">
        <v>8</v>
      </c>
      <c r="F2">
        <v>1.89E-2</v>
      </c>
      <c r="G2">
        <v>0.1512</v>
      </c>
      <c r="H2" s="1">
        <v>702</v>
      </c>
      <c r="I2" s="1" t="str">
        <f>VLOOKUP(H2,'Master(Ko Xóa)'!$F$2:$H$158,3,0)</f>
        <v>Out</v>
      </c>
      <c r="J2" t="s">
        <v>103</v>
      </c>
      <c r="K2" t="s">
        <v>106</v>
      </c>
      <c r="L2" t="s">
        <v>107</v>
      </c>
      <c r="M2" t="s">
        <v>105</v>
      </c>
      <c r="S2" t="s">
        <v>99</v>
      </c>
    </row>
    <row r="3" spans="1:19" x14ac:dyDescent="0.25">
      <c r="A3" s="4">
        <v>15.2</v>
      </c>
      <c r="B3" t="s">
        <v>111</v>
      </c>
      <c r="C3" s="6" t="s">
        <v>102</v>
      </c>
      <c r="D3" s="7" t="s">
        <v>104</v>
      </c>
      <c r="E3">
        <v>7</v>
      </c>
      <c r="F3">
        <v>5.16E-2</v>
      </c>
      <c r="G3">
        <v>0.36120000000000002</v>
      </c>
      <c r="H3" s="1">
        <v>702</v>
      </c>
      <c r="I3" s="1" t="str">
        <f>VLOOKUP(H3,'Master(Ko Xóa)'!$F$2:$H$158,3,0)</f>
        <v>Out</v>
      </c>
      <c r="J3" t="s">
        <v>103</v>
      </c>
      <c r="K3" t="s">
        <v>106</v>
      </c>
      <c r="L3" t="s">
        <v>107</v>
      </c>
      <c r="M3" t="s">
        <v>105</v>
      </c>
      <c r="S3" t="s">
        <v>99</v>
      </c>
    </row>
    <row r="4" spans="1:19" x14ac:dyDescent="0.25">
      <c r="A4" s="4">
        <v>15.2</v>
      </c>
      <c r="B4" t="s">
        <v>112</v>
      </c>
      <c r="C4" s="6" t="s">
        <v>102</v>
      </c>
      <c r="D4" s="7" t="s">
        <v>104</v>
      </c>
      <c r="E4">
        <v>10</v>
      </c>
      <c r="F4">
        <v>2.7899999999999998E-2</v>
      </c>
      <c r="G4">
        <v>0.27900000000000003</v>
      </c>
      <c r="H4" s="1">
        <v>702</v>
      </c>
      <c r="I4" s="1" t="str">
        <f>VLOOKUP(H4,'Master(Ko Xóa)'!$F$2:$H$158,3,0)</f>
        <v>Out</v>
      </c>
      <c r="J4" t="s">
        <v>103</v>
      </c>
      <c r="K4" t="s">
        <v>106</v>
      </c>
      <c r="L4" t="s">
        <v>107</v>
      </c>
      <c r="M4" t="s">
        <v>105</v>
      </c>
      <c r="S4" t="s">
        <v>99</v>
      </c>
    </row>
    <row r="5" spans="1:19" x14ac:dyDescent="0.25">
      <c r="A5" s="4">
        <v>15.2</v>
      </c>
      <c r="B5" t="s">
        <v>113</v>
      </c>
      <c r="C5" s="6" t="s">
        <v>102</v>
      </c>
      <c r="D5" s="7" t="s">
        <v>104</v>
      </c>
      <c r="E5">
        <v>24</v>
      </c>
      <c r="F5">
        <v>4.6100000000000002E-2</v>
      </c>
      <c r="G5">
        <v>1.1064000000000001</v>
      </c>
      <c r="H5" s="1">
        <v>702</v>
      </c>
      <c r="I5" s="1" t="str">
        <f>VLOOKUP(H5,'Master(Ko Xóa)'!$F$2:$H$158,3,0)</f>
        <v>Out</v>
      </c>
      <c r="J5" t="s">
        <v>103</v>
      </c>
      <c r="K5" t="s">
        <v>106</v>
      </c>
      <c r="L5" t="s">
        <v>107</v>
      </c>
      <c r="M5" t="s">
        <v>105</v>
      </c>
      <c r="S5" t="s">
        <v>99</v>
      </c>
    </row>
    <row r="6" spans="1:19" x14ac:dyDescent="0.25">
      <c r="A6" s="4">
        <v>15.2</v>
      </c>
      <c r="B6" t="s">
        <v>114</v>
      </c>
      <c r="C6" s="6" t="s">
        <v>102</v>
      </c>
      <c r="D6" s="7" t="s">
        <v>104</v>
      </c>
      <c r="E6">
        <v>23</v>
      </c>
      <c r="F6">
        <v>0.11846999999999999</v>
      </c>
      <c r="G6">
        <v>2.7248100000000002</v>
      </c>
      <c r="H6" s="1">
        <v>702</v>
      </c>
      <c r="I6" s="1" t="str">
        <f>VLOOKUP(H6,'Master(Ko Xóa)'!$F$2:$H$158,3,0)</f>
        <v>Out</v>
      </c>
      <c r="J6" t="s">
        <v>103</v>
      </c>
      <c r="K6" t="s">
        <v>106</v>
      </c>
      <c r="L6" t="s">
        <v>107</v>
      </c>
      <c r="M6" t="s">
        <v>105</v>
      </c>
      <c r="S6" t="s">
        <v>99</v>
      </c>
    </row>
    <row r="7" spans="1:19" x14ac:dyDescent="0.25">
      <c r="A7" s="4">
        <v>15.2</v>
      </c>
      <c r="B7" t="s">
        <v>115</v>
      </c>
      <c r="C7" s="6" t="s">
        <v>102</v>
      </c>
      <c r="D7" s="7" t="s">
        <v>104</v>
      </c>
      <c r="E7">
        <v>4</v>
      </c>
      <c r="F7">
        <v>0.13497000000000001</v>
      </c>
      <c r="G7">
        <v>0.53988000000000003</v>
      </c>
      <c r="H7" s="1">
        <v>702</v>
      </c>
      <c r="I7" s="1" t="str">
        <f>VLOOKUP(H7,'Master(Ko Xóa)'!$F$2:$H$158,3,0)</f>
        <v>Out</v>
      </c>
      <c r="J7" t="s">
        <v>103</v>
      </c>
      <c r="K7" t="s">
        <v>106</v>
      </c>
      <c r="L7" t="s">
        <v>107</v>
      </c>
      <c r="M7" t="s">
        <v>105</v>
      </c>
      <c r="S7" t="s">
        <v>99</v>
      </c>
    </row>
    <row r="8" spans="1:19" x14ac:dyDescent="0.25">
      <c r="A8" s="4">
        <v>15.2</v>
      </c>
      <c r="B8" t="s">
        <v>116</v>
      </c>
      <c r="C8" s="6" t="s">
        <v>102</v>
      </c>
      <c r="D8" s="7" t="s">
        <v>104</v>
      </c>
      <c r="E8">
        <v>4</v>
      </c>
      <c r="F8">
        <v>0.10590000000000001</v>
      </c>
      <c r="G8">
        <v>0.42359999999999998</v>
      </c>
      <c r="H8" s="1">
        <v>702</v>
      </c>
      <c r="I8" s="1" t="str">
        <f>VLOOKUP(H8,'Master(Ko Xóa)'!$F$2:$H$158,3,0)</f>
        <v>Out</v>
      </c>
      <c r="J8" t="s">
        <v>103</v>
      </c>
      <c r="K8" t="s">
        <v>106</v>
      </c>
      <c r="L8" t="s">
        <v>107</v>
      </c>
      <c r="M8" t="s">
        <v>105</v>
      </c>
      <c r="S8" t="s">
        <v>99</v>
      </c>
    </row>
    <row r="9" spans="1:19" x14ac:dyDescent="0.25">
      <c r="A9" s="4">
        <v>15.2</v>
      </c>
      <c r="B9" t="s">
        <v>117</v>
      </c>
      <c r="C9" s="6" t="s">
        <v>102</v>
      </c>
      <c r="D9" s="7" t="s">
        <v>104</v>
      </c>
      <c r="E9">
        <v>2</v>
      </c>
      <c r="F9">
        <v>0.10529999999999999</v>
      </c>
      <c r="G9">
        <v>0.21060000000000001</v>
      </c>
      <c r="H9" s="1">
        <v>702</v>
      </c>
      <c r="I9" s="1" t="str">
        <f>VLOOKUP(H9,'Master(Ko Xóa)'!$F$2:$H$158,3,0)</f>
        <v>Out</v>
      </c>
      <c r="J9" t="s">
        <v>103</v>
      </c>
      <c r="K9" t="s">
        <v>106</v>
      </c>
      <c r="L9" t="s">
        <v>107</v>
      </c>
      <c r="M9" t="s">
        <v>105</v>
      </c>
      <c r="S9" t="s">
        <v>99</v>
      </c>
    </row>
    <row r="10" spans="1:19" x14ac:dyDescent="0.25">
      <c r="A10" s="4">
        <v>15.2</v>
      </c>
      <c r="B10" t="s">
        <v>118</v>
      </c>
      <c r="C10" s="6" t="s">
        <v>102</v>
      </c>
      <c r="D10" s="7" t="s">
        <v>104</v>
      </c>
      <c r="E10">
        <v>2</v>
      </c>
      <c r="F10">
        <v>9.1299999999999992E-2</v>
      </c>
      <c r="G10">
        <v>0.18260000000000001</v>
      </c>
      <c r="H10" s="1">
        <v>702</v>
      </c>
      <c r="I10" s="1" t="str">
        <f>VLOOKUP(H10,'Master(Ko Xóa)'!$F$2:$H$158,3,0)</f>
        <v>Out</v>
      </c>
      <c r="J10" t="s">
        <v>103</v>
      </c>
      <c r="K10" t="s">
        <v>106</v>
      </c>
      <c r="L10" t="s">
        <v>107</v>
      </c>
      <c r="M10" t="s">
        <v>105</v>
      </c>
      <c r="S10" t="s">
        <v>99</v>
      </c>
    </row>
    <row r="11" spans="1:19" x14ac:dyDescent="0.25">
      <c r="A11" s="4">
        <v>15.2</v>
      </c>
      <c r="B11" t="s">
        <v>119</v>
      </c>
      <c r="C11" s="6" t="s">
        <v>102</v>
      </c>
      <c r="D11" s="7" t="s">
        <v>104</v>
      </c>
      <c r="E11">
        <v>11</v>
      </c>
      <c r="F11">
        <v>3.0600000000000002E-2</v>
      </c>
      <c r="G11">
        <v>0.33660000000000001</v>
      </c>
      <c r="H11" s="1">
        <v>702</v>
      </c>
      <c r="I11" s="1" t="str">
        <f>VLOOKUP(H11,'Master(Ko Xóa)'!$F$2:$H$158,3,0)</f>
        <v>Out</v>
      </c>
      <c r="J11" t="s">
        <v>103</v>
      </c>
      <c r="K11" t="s">
        <v>106</v>
      </c>
      <c r="L11" t="s">
        <v>107</v>
      </c>
      <c r="M11" t="s">
        <v>105</v>
      </c>
      <c r="S11" t="s">
        <v>99</v>
      </c>
    </row>
    <row r="12" spans="1:19" x14ac:dyDescent="0.25">
      <c r="A12" s="4">
        <v>15.2</v>
      </c>
      <c r="B12" t="s">
        <v>120</v>
      </c>
      <c r="C12" s="6" t="s">
        <v>102</v>
      </c>
      <c r="D12" s="7" t="s">
        <v>104</v>
      </c>
      <c r="E12">
        <v>40</v>
      </c>
      <c r="F12">
        <v>0.1399</v>
      </c>
      <c r="G12">
        <v>5.5960000000000001</v>
      </c>
      <c r="H12" s="1">
        <v>702</v>
      </c>
      <c r="I12" s="1" t="str">
        <f>VLOOKUP(H12,'Master(Ko Xóa)'!$F$2:$H$158,3,0)</f>
        <v>Out</v>
      </c>
      <c r="J12" t="s">
        <v>103</v>
      </c>
      <c r="K12" t="s">
        <v>106</v>
      </c>
      <c r="L12" t="s">
        <v>107</v>
      </c>
      <c r="M12" t="s">
        <v>105</v>
      </c>
      <c r="S12" t="s">
        <v>99</v>
      </c>
    </row>
    <row r="13" spans="1:19" x14ac:dyDescent="0.25">
      <c r="A13" s="4">
        <v>15.2</v>
      </c>
      <c r="B13" t="s">
        <v>121</v>
      </c>
      <c r="C13" s="6" t="s">
        <v>102</v>
      </c>
      <c r="D13" s="7" t="s">
        <v>104</v>
      </c>
      <c r="E13">
        <v>6</v>
      </c>
      <c r="F13">
        <v>9.1000000000000004E-3</v>
      </c>
      <c r="G13">
        <v>5.4600000000000003E-2</v>
      </c>
      <c r="H13" s="1">
        <v>702</v>
      </c>
      <c r="I13" s="1" t="str">
        <f>VLOOKUP(H13,'Master(Ko Xóa)'!$F$2:$H$158,3,0)</f>
        <v>Out</v>
      </c>
      <c r="J13" t="s">
        <v>103</v>
      </c>
      <c r="K13" t="s">
        <v>106</v>
      </c>
      <c r="L13" t="s">
        <v>107</v>
      </c>
      <c r="M13" t="s">
        <v>105</v>
      </c>
      <c r="S13" t="s">
        <v>99</v>
      </c>
    </row>
    <row r="14" spans="1:19" x14ac:dyDescent="0.25">
      <c r="A14" s="4">
        <v>15.2</v>
      </c>
      <c r="B14" t="s">
        <v>122</v>
      </c>
      <c r="C14" s="6" t="s">
        <v>102</v>
      </c>
      <c r="D14" s="7" t="s">
        <v>104</v>
      </c>
      <c r="E14">
        <v>1</v>
      </c>
      <c r="F14">
        <v>3.3600000000000005E-2</v>
      </c>
      <c r="G14">
        <v>3.3599999999999998E-2</v>
      </c>
      <c r="H14" s="1">
        <v>702</v>
      </c>
      <c r="I14" s="1" t="str">
        <f>VLOOKUP(H14,'Master(Ko Xóa)'!$F$2:$H$158,3,0)</f>
        <v>Out</v>
      </c>
      <c r="J14" t="s">
        <v>103</v>
      </c>
      <c r="K14" t="s">
        <v>106</v>
      </c>
      <c r="L14" t="s">
        <v>107</v>
      </c>
      <c r="M14" t="s">
        <v>105</v>
      </c>
      <c r="S14" t="s">
        <v>99</v>
      </c>
    </row>
    <row r="15" spans="1:19" x14ac:dyDescent="0.25">
      <c r="A15" s="4">
        <v>15.2</v>
      </c>
      <c r="B15" t="s">
        <v>123</v>
      </c>
      <c r="C15" s="6" t="s">
        <v>102</v>
      </c>
      <c r="D15" s="7" t="s">
        <v>104</v>
      </c>
      <c r="E15">
        <v>1</v>
      </c>
      <c r="F15">
        <v>2.1100000000000001E-2</v>
      </c>
      <c r="G15">
        <v>2.1100000000000001E-2</v>
      </c>
      <c r="H15" s="1">
        <v>702</v>
      </c>
      <c r="I15" s="1" t="str">
        <f>VLOOKUP(H15,'Master(Ko Xóa)'!$F$2:$H$158,3,0)</f>
        <v>Out</v>
      </c>
      <c r="J15" t="s">
        <v>103</v>
      </c>
      <c r="K15" t="s">
        <v>106</v>
      </c>
      <c r="L15" t="s">
        <v>107</v>
      </c>
      <c r="M15" t="s">
        <v>105</v>
      </c>
      <c r="S15" t="s">
        <v>99</v>
      </c>
    </row>
    <row r="16" spans="1:19" x14ac:dyDescent="0.25">
      <c r="A16" s="4">
        <v>15.2</v>
      </c>
      <c r="B16" t="s">
        <v>124</v>
      </c>
      <c r="C16" s="6" t="s">
        <v>102</v>
      </c>
      <c r="D16" s="7" t="s">
        <v>104</v>
      </c>
      <c r="E16">
        <v>4</v>
      </c>
      <c r="F16">
        <v>2.3E-2</v>
      </c>
      <c r="G16">
        <v>9.1999999999999998E-2</v>
      </c>
      <c r="H16" s="1">
        <v>702</v>
      </c>
      <c r="I16" s="1" t="str">
        <f>VLOOKUP(H16,'Master(Ko Xóa)'!$F$2:$H$158,3,0)</f>
        <v>Out</v>
      </c>
      <c r="J16" t="s">
        <v>103</v>
      </c>
      <c r="K16" t="s">
        <v>106</v>
      </c>
      <c r="L16" t="s">
        <v>107</v>
      </c>
      <c r="M16" t="s">
        <v>105</v>
      </c>
      <c r="S16" t="s">
        <v>99</v>
      </c>
    </row>
    <row r="17" spans="1:19" x14ac:dyDescent="0.25">
      <c r="A17" s="4">
        <v>15.2</v>
      </c>
      <c r="B17" t="s">
        <v>125</v>
      </c>
      <c r="C17" s="6" t="s">
        <v>102</v>
      </c>
      <c r="D17" s="7" t="s">
        <v>104</v>
      </c>
      <c r="E17">
        <v>130</v>
      </c>
      <c r="F17">
        <v>2.7000000000000001E-3</v>
      </c>
      <c r="G17">
        <v>0.35099999999999998</v>
      </c>
      <c r="H17" s="1">
        <v>702</v>
      </c>
      <c r="I17" s="1" t="str">
        <f>VLOOKUP(H17,'Master(Ko Xóa)'!$F$2:$H$158,3,0)</f>
        <v>Out</v>
      </c>
      <c r="J17" t="s">
        <v>103</v>
      </c>
      <c r="K17" t="s">
        <v>106</v>
      </c>
      <c r="L17" t="s">
        <v>107</v>
      </c>
      <c r="M17" t="s">
        <v>105</v>
      </c>
      <c r="S17" t="s">
        <v>99</v>
      </c>
    </row>
    <row r="18" spans="1:19" x14ac:dyDescent="0.25">
      <c r="A18" s="4">
        <v>15.2</v>
      </c>
      <c r="B18" t="s">
        <v>126</v>
      </c>
      <c r="C18" s="6" t="s">
        <v>102</v>
      </c>
      <c r="D18" s="7" t="s">
        <v>104</v>
      </c>
      <c r="E18">
        <v>3</v>
      </c>
      <c r="F18">
        <v>7.3000000000000001E-3</v>
      </c>
      <c r="G18">
        <v>2.1899999999999999E-2</v>
      </c>
      <c r="H18" s="1">
        <v>702</v>
      </c>
      <c r="I18" s="1" t="str">
        <f>VLOOKUP(H18,'Master(Ko Xóa)'!$F$2:$H$158,3,0)</f>
        <v>Out</v>
      </c>
      <c r="J18" t="s">
        <v>103</v>
      </c>
      <c r="K18" t="s">
        <v>106</v>
      </c>
      <c r="L18" t="s">
        <v>107</v>
      </c>
      <c r="M18" t="s">
        <v>105</v>
      </c>
      <c r="S18" t="s">
        <v>99</v>
      </c>
    </row>
    <row r="19" spans="1:19" x14ac:dyDescent="0.25">
      <c r="A19" s="4">
        <v>15.2</v>
      </c>
      <c r="B19" t="s">
        <v>127</v>
      </c>
      <c r="C19" s="6" t="s">
        <v>102</v>
      </c>
      <c r="D19" s="7" t="s">
        <v>104</v>
      </c>
      <c r="E19">
        <v>11</v>
      </c>
      <c r="F19">
        <v>1.3519999999999999E-2</v>
      </c>
      <c r="G19">
        <v>0.14871999999999999</v>
      </c>
      <c r="H19" s="1">
        <v>702</v>
      </c>
      <c r="I19" s="1" t="str">
        <f>VLOOKUP(H19,'Master(Ko Xóa)'!$F$2:$H$158,3,0)</f>
        <v>Out</v>
      </c>
      <c r="J19" t="s">
        <v>103</v>
      </c>
      <c r="K19" t="s">
        <v>106</v>
      </c>
      <c r="L19" t="s">
        <v>107</v>
      </c>
      <c r="M19" t="s">
        <v>105</v>
      </c>
      <c r="S19" t="s">
        <v>99</v>
      </c>
    </row>
    <row r="20" spans="1:19" x14ac:dyDescent="0.25">
      <c r="A20" s="4">
        <v>15.2</v>
      </c>
      <c r="B20" t="s">
        <v>128</v>
      </c>
      <c r="C20" s="6" t="s">
        <v>102</v>
      </c>
      <c r="D20" s="7" t="s">
        <v>104</v>
      </c>
      <c r="E20">
        <v>1</v>
      </c>
      <c r="F20">
        <v>6.0000000000000001E-3</v>
      </c>
      <c r="G20">
        <v>6.0000000000000001E-3</v>
      </c>
      <c r="H20" s="1">
        <v>702</v>
      </c>
      <c r="I20" s="1" t="str">
        <f>VLOOKUP(H20,'Master(Ko Xóa)'!$F$2:$H$158,3,0)</f>
        <v>Out</v>
      </c>
      <c r="J20" t="s">
        <v>103</v>
      </c>
      <c r="K20" t="s">
        <v>106</v>
      </c>
      <c r="L20" t="s">
        <v>107</v>
      </c>
      <c r="M20" t="s">
        <v>105</v>
      </c>
      <c r="S20" t="s">
        <v>99</v>
      </c>
    </row>
    <row r="21" spans="1:19" x14ac:dyDescent="0.25">
      <c r="A21" s="4">
        <v>15.2</v>
      </c>
      <c r="B21" t="s">
        <v>129</v>
      </c>
      <c r="C21" s="6" t="s">
        <v>102</v>
      </c>
      <c r="D21" s="7" t="s">
        <v>104</v>
      </c>
      <c r="E21">
        <v>12</v>
      </c>
      <c r="F21">
        <v>6.4000000000000003E-3</v>
      </c>
      <c r="G21">
        <v>7.6799999999999993E-2</v>
      </c>
      <c r="H21" s="1">
        <v>702</v>
      </c>
      <c r="I21" s="1" t="str">
        <f>VLOOKUP(H21,'Master(Ko Xóa)'!$F$2:$H$158,3,0)</f>
        <v>Out</v>
      </c>
      <c r="J21" t="s">
        <v>103</v>
      </c>
      <c r="K21" t="s">
        <v>106</v>
      </c>
      <c r="L21" t="s">
        <v>107</v>
      </c>
      <c r="M21" t="s">
        <v>105</v>
      </c>
      <c r="S21" t="s">
        <v>99</v>
      </c>
    </row>
    <row r="22" spans="1:19" x14ac:dyDescent="0.25">
      <c r="A22" s="4">
        <v>15.2</v>
      </c>
      <c r="B22" t="s">
        <v>130</v>
      </c>
      <c r="C22" s="6" t="s">
        <v>102</v>
      </c>
      <c r="D22" s="7" t="s">
        <v>104</v>
      </c>
      <c r="E22">
        <v>1</v>
      </c>
      <c r="F22">
        <v>8.8999999999999996E-2</v>
      </c>
      <c r="G22">
        <v>8.8999999999999996E-2</v>
      </c>
      <c r="H22" s="1">
        <v>702</v>
      </c>
      <c r="I22" s="1" t="str">
        <f>VLOOKUP(H22,'Master(Ko Xóa)'!$F$2:$H$158,3,0)</f>
        <v>Out</v>
      </c>
      <c r="J22" t="s">
        <v>103</v>
      </c>
      <c r="K22" t="s">
        <v>106</v>
      </c>
      <c r="L22" t="s">
        <v>107</v>
      </c>
      <c r="M22" t="s">
        <v>105</v>
      </c>
      <c r="S22" t="s">
        <v>99</v>
      </c>
    </row>
    <row r="23" spans="1:19" x14ac:dyDescent="0.25">
      <c r="A23" s="4">
        <v>15.2</v>
      </c>
      <c r="B23" t="s">
        <v>131</v>
      </c>
      <c r="C23" s="6" t="s">
        <v>102</v>
      </c>
      <c r="D23" s="7" t="s">
        <v>104</v>
      </c>
      <c r="E23">
        <v>1</v>
      </c>
      <c r="F23">
        <v>0.53600000000000003</v>
      </c>
      <c r="G23">
        <v>0.53600000000000003</v>
      </c>
      <c r="H23" s="1">
        <v>702</v>
      </c>
      <c r="I23" s="1" t="str">
        <f>VLOOKUP(H23,'Master(Ko Xóa)'!$F$2:$H$158,3,0)</f>
        <v>Out</v>
      </c>
      <c r="J23" t="s">
        <v>103</v>
      </c>
      <c r="K23" t="s">
        <v>106</v>
      </c>
      <c r="L23" t="s">
        <v>107</v>
      </c>
      <c r="M23" t="s">
        <v>105</v>
      </c>
      <c r="S23" t="s">
        <v>99</v>
      </c>
    </row>
    <row r="24" spans="1:19" x14ac:dyDescent="0.25">
      <c r="A24" s="4">
        <v>15.2</v>
      </c>
      <c r="B24" t="s">
        <v>132</v>
      </c>
      <c r="C24" s="6" t="s">
        <v>102</v>
      </c>
      <c r="D24" s="7" t="s">
        <v>104</v>
      </c>
      <c r="E24">
        <v>184</v>
      </c>
      <c r="F24">
        <v>2.1000000000000001E-2</v>
      </c>
      <c r="G24">
        <v>3.8639999999999999</v>
      </c>
      <c r="H24" s="1">
        <v>702</v>
      </c>
      <c r="I24" s="1" t="str">
        <f>VLOOKUP(H24,'Master(Ko Xóa)'!$F$2:$H$158,3,0)</f>
        <v>Out</v>
      </c>
      <c r="J24" t="s">
        <v>103</v>
      </c>
      <c r="K24" t="s">
        <v>106</v>
      </c>
      <c r="L24" t="s">
        <v>107</v>
      </c>
      <c r="M24" t="s">
        <v>105</v>
      </c>
      <c r="S24" t="s">
        <v>99</v>
      </c>
    </row>
    <row r="25" spans="1:19" x14ac:dyDescent="0.25">
      <c r="A25" s="4">
        <v>15.2</v>
      </c>
      <c r="B25" t="s">
        <v>133</v>
      </c>
      <c r="C25" s="6" t="s">
        <v>102</v>
      </c>
      <c r="D25" s="7" t="s">
        <v>104</v>
      </c>
      <c r="E25">
        <v>5</v>
      </c>
      <c r="F25">
        <v>8.6800000000000002E-2</v>
      </c>
      <c r="G25">
        <v>0.434</v>
      </c>
      <c r="H25" s="1">
        <v>702</v>
      </c>
      <c r="I25" s="1" t="str">
        <f>VLOOKUP(H25,'Master(Ko Xóa)'!$F$2:$H$158,3,0)</f>
        <v>Out</v>
      </c>
      <c r="J25" t="s">
        <v>103</v>
      </c>
      <c r="K25" t="s">
        <v>106</v>
      </c>
      <c r="L25" t="s">
        <v>107</v>
      </c>
      <c r="M25" t="s">
        <v>105</v>
      </c>
      <c r="S25" t="s">
        <v>99</v>
      </c>
    </row>
    <row r="26" spans="1:19" x14ac:dyDescent="0.25">
      <c r="A26" s="4">
        <v>15.2</v>
      </c>
      <c r="B26" t="s">
        <v>134</v>
      </c>
      <c r="C26" s="6" t="s">
        <v>102</v>
      </c>
      <c r="D26" s="7" t="s">
        <v>104</v>
      </c>
      <c r="E26">
        <v>6</v>
      </c>
      <c r="F26">
        <v>0.218</v>
      </c>
      <c r="G26">
        <v>1.3080000000000001</v>
      </c>
      <c r="H26" s="1">
        <v>702</v>
      </c>
      <c r="I26" s="1" t="str">
        <f>VLOOKUP(H26,'Master(Ko Xóa)'!$F$2:$H$158,3,0)</f>
        <v>Out</v>
      </c>
      <c r="J26" t="s">
        <v>103</v>
      </c>
      <c r="K26" t="s">
        <v>106</v>
      </c>
      <c r="L26" t="s">
        <v>107</v>
      </c>
      <c r="M26" t="s">
        <v>105</v>
      </c>
      <c r="S26" t="s">
        <v>99</v>
      </c>
    </row>
    <row r="27" spans="1:19" x14ac:dyDescent="0.25">
      <c r="A27" s="4">
        <v>15.2</v>
      </c>
      <c r="B27" t="s">
        <v>135</v>
      </c>
      <c r="C27" s="6" t="s">
        <v>102</v>
      </c>
      <c r="D27" s="7" t="s">
        <v>104</v>
      </c>
      <c r="E27">
        <v>2</v>
      </c>
      <c r="F27">
        <v>0.218</v>
      </c>
      <c r="G27">
        <v>0.436</v>
      </c>
      <c r="H27" s="1">
        <v>702</v>
      </c>
      <c r="I27" s="1" t="str">
        <f>VLOOKUP(H27,'Master(Ko Xóa)'!$F$2:$H$158,3,0)</f>
        <v>Out</v>
      </c>
      <c r="J27" t="s">
        <v>103</v>
      </c>
      <c r="K27" t="s">
        <v>106</v>
      </c>
      <c r="L27" t="s">
        <v>107</v>
      </c>
      <c r="M27" t="s">
        <v>105</v>
      </c>
      <c r="S27" t="s">
        <v>99</v>
      </c>
    </row>
    <row r="28" spans="1:19" x14ac:dyDescent="0.25">
      <c r="A28" s="4">
        <v>15.2</v>
      </c>
      <c r="B28" t="s">
        <v>136</v>
      </c>
      <c r="C28" s="6" t="s">
        <v>102</v>
      </c>
      <c r="D28" s="7" t="s">
        <v>104</v>
      </c>
      <c r="E28">
        <v>10</v>
      </c>
      <c r="F28">
        <v>0.2419</v>
      </c>
      <c r="G28">
        <v>2.419</v>
      </c>
      <c r="H28" s="1">
        <v>702</v>
      </c>
      <c r="I28" s="1" t="str">
        <f>VLOOKUP(H28,'Master(Ko Xóa)'!$F$2:$H$158,3,0)</f>
        <v>Out</v>
      </c>
      <c r="J28" t="s">
        <v>103</v>
      </c>
      <c r="K28" t="s">
        <v>106</v>
      </c>
      <c r="L28" t="s">
        <v>107</v>
      </c>
      <c r="M28" t="s">
        <v>105</v>
      </c>
      <c r="S28" t="s">
        <v>99</v>
      </c>
    </row>
    <row r="29" spans="1:19" x14ac:dyDescent="0.25">
      <c r="A29" s="4">
        <v>15.2</v>
      </c>
      <c r="B29" t="s">
        <v>137</v>
      </c>
      <c r="C29" s="6" t="s">
        <v>102</v>
      </c>
      <c r="D29" s="7" t="s">
        <v>104</v>
      </c>
      <c r="E29">
        <v>1</v>
      </c>
      <c r="F29">
        <v>0.2777</v>
      </c>
      <c r="G29">
        <v>0.2777</v>
      </c>
      <c r="H29" s="1">
        <v>702</v>
      </c>
      <c r="I29" s="1" t="str">
        <f>VLOOKUP(H29,'Master(Ko Xóa)'!$F$2:$H$158,3,0)</f>
        <v>Out</v>
      </c>
      <c r="J29" t="s">
        <v>103</v>
      </c>
      <c r="K29" t="s">
        <v>106</v>
      </c>
      <c r="L29" t="s">
        <v>107</v>
      </c>
      <c r="M29" t="s">
        <v>105</v>
      </c>
      <c r="S29" t="s">
        <v>99</v>
      </c>
    </row>
    <row r="30" spans="1:19" x14ac:dyDescent="0.25">
      <c r="A30" s="4">
        <v>15.2</v>
      </c>
      <c r="B30" t="s">
        <v>138</v>
      </c>
      <c r="C30" s="6" t="s">
        <v>102</v>
      </c>
      <c r="D30" s="7" t="s">
        <v>104</v>
      </c>
      <c r="E30">
        <v>1</v>
      </c>
      <c r="F30">
        <v>0.36</v>
      </c>
      <c r="G30">
        <v>0.36</v>
      </c>
      <c r="H30" s="1">
        <v>702</v>
      </c>
      <c r="I30" s="1" t="str">
        <f>VLOOKUP(H30,'Master(Ko Xóa)'!$F$2:$H$158,3,0)</f>
        <v>Out</v>
      </c>
      <c r="J30" t="s">
        <v>103</v>
      </c>
      <c r="K30" t="s">
        <v>106</v>
      </c>
      <c r="L30" t="s">
        <v>107</v>
      </c>
      <c r="M30" t="s">
        <v>105</v>
      </c>
      <c r="S30" t="s">
        <v>99</v>
      </c>
    </row>
    <row r="31" spans="1:19" x14ac:dyDescent="0.25">
      <c r="A31" s="4">
        <v>15.2</v>
      </c>
      <c r="B31" t="s">
        <v>139</v>
      </c>
      <c r="C31" s="6" t="s">
        <v>102</v>
      </c>
      <c r="D31" s="7" t="s">
        <v>104</v>
      </c>
      <c r="E31">
        <v>44</v>
      </c>
      <c r="F31">
        <v>1.2699999999999999E-2</v>
      </c>
      <c r="G31">
        <v>0.55879999999999996</v>
      </c>
      <c r="H31" s="1">
        <v>702</v>
      </c>
      <c r="I31" s="1" t="str">
        <f>VLOOKUP(H31,'Master(Ko Xóa)'!$F$2:$H$158,3,0)</f>
        <v>Out</v>
      </c>
      <c r="J31" t="s">
        <v>103</v>
      </c>
      <c r="K31" t="s">
        <v>106</v>
      </c>
      <c r="L31" t="s">
        <v>107</v>
      </c>
      <c r="M31" t="s">
        <v>105</v>
      </c>
      <c r="S31" t="s">
        <v>99</v>
      </c>
    </row>
    <row r="32" spans="1:19" x14ac:dyDescent="0.25">
      <c r="A32" s="4">
        <v>15.2</v>
      </c>
      <c r="B32" t="s">
        <v>140</v>
      </c>
      <c r="C32" s="6" t="s">
        <v>102</v>
      </c>
      <c r="D32" s="7" t="s">
        <v>104</v>
      </c>
      <c r="E32">
        <v>16</v>
      </c>
      <c r="F32">
        <v>1.7299999999999999E-2</v>
      </c>
      <c r="G32">
        <v>0.27679999999999999</v>
      </c>
      <c r="H32" s="1">
        <v>702</v>
      </c>
      <c r="I32" s="1" t="str">
        <f>VLOOKUP(H32,'Master(Ko Xóa)'!$F$2:$H$158,3,0)</f>
        <v>Out</v>
      </c>
      <c r="J32" t="s">
        <v>103</v>
      </c>
      <c r="K32" t="s">
        <v>106</v>
      </c>
      <c r="L32" t="s">
        <v>107</v>
      </c>
      <c r="M32" t="s">
        <v>105</v>
      </c>
      <c r="S32" t="s">
        <v>99</v>
      </c>
    </row>
    <row r="33" spans="1:19" x14ac:dyDescent="0.25">
      <c r="A33" s="4">
        <v>15.2</v>
      </c>
      <c r="B33" t="s">
        <v>141</v>
      </c>
      <c r="C33" s="6" t="s">
        <v>102</v>
      </c>
      <c r="D33" s="7" t="s">
        <v>104</v>
      </c>
      <c r="E33">
        <v>3</v>
      </c>
      <c r="F33">
        <v>1.7149999999999999E-2</v>
      </c>
      <c r="G33">
        <v>5.1450000000000003E-2</v>
      </c>
      <c r="H33" s="1">
        <v>702</v>
      </c>
      <c r="I33" s="1" t="str">
        <f>VLOOKUP(H33,'Master(Ko Xóa)'!$F$2:$H$158,3,0)</f>
        <v>Out</v>
      </c>
      <c r="J33" t="s">
        <v>103</v>
      </c>
      <c r="K33" t="s">
        <v>106</v>
      </c>
      <c r="L33" t="s">
        <v>107</v>
      </c>
      <c r="M33" t="s">
        <v>105</v>
      </c>
      <c r="S33" t="s">
        <v>99</v>
      </c>
    </row>
    <row r="34" spans="1:19" x14ac:dyDescent="0.25">
      <c r="A34" s="4">
        <v>15.2</v>
      </c>
      <c r="B34" t="s">
        <v>142</v>
      </c>
      <c r="C34" s="6" t="s">
        <v>102</v>
      </c>
      <c r="D34" s="7" t="s">
        <v>104</v>
      </c>
      <c r="E34">
        <v>2</v>
      </c>
      <c r="F34">
        <v>1.7149999999999999E-2</v>
      </c>
      <c r="G34">
        <v>3.4299999999999997E-2</v>
      </c>
      <c r="H34" s="1">
        <v>702</v>
      </c>
      <c r="I34" s="1" t="str">
        <f>VLOOKUP(H34,'Master(Ko Xóa)'!$F$2:$H$158,3,0)</f>
        <v>Out</v>
      </c>
      <c r="J34" t="s">
        <v>103</v>
      </c>
      <c r="K34" t="s">
        <v>106</v>
      </c>
      <c r="L34" t="s">
        <v>107</v>
      </c>
      <c r="M34" t="s">
        <v>105</v>
      </c>
      <c r="S34" t="s">
        <v>99</v>
      </c>
    </row>
    <row r="35" spans="1:19" x14ac:dyDescent="0.25">
      <c r="A35" s="4">
        <v>15.2</v>
      </c>
      <c r="B35" t="s">
        <v>143</v>
      </c>
      <c r="C35" s="6" t="s">
        <v>102</v>
      </c>
      <c r="D35" s="7" t="s">
        <v>104</v>
      </c>
      <c r="E35">
        <v>24</v>
      </c>
      <c r="F35">
        <v>2.6800000000000001E-2</v>
      </c>
      <c r="G35">
        <v>0.64319999999999999</v>
      </c>
      <c r="H35" s="1">
        <v>702</v>
      </c>
      <c r="I35" s="1" t="str">
        <f>VLOOKUP(H35,'Master(Ko Xóa)'!$F$2:$H$158,3,0)</f>
        <v>Out</v>
      </c>
      <c r="J35" t="s">
        <v>103</v>
      </c>
      <c r="K35" t="s">
        <v>106</v>
      </c>
      <c r="L35" t="s">
        <v>107</v>
      </c>
      <c r="M35" t="s">
        <v>105</v>
      </c>
      <c r="S35" t="s">
        <v>99</v>
      </c>
    </row>
    <row r="36" spans="1:19" x14ac:dyDescent="0.25">
      <c r="A36" s="4">
        <v>15.2</v>
      </c>
      <c r="B36" t="s">
        <v>144</v>
      </c>
      <c r="C36" s="6" t="s">
        <v>102</v>
      </c>
      <c r="D36" s="7" t="s">
        <v>104</v>
      </c>
      <c r="E36">
        <v>1</v>
      </c>
      <c r="F36">
        <v>0.154</v>
      </c>
      <c r="G36">
        <v>0.154</v>
      </c>
      <c r="H36" s="1">
        <v>702</v>
      </c>
      <c r="I36" s="1" t="str">
        <f>VLOOKUP(H36,'Master(Ko Xóa)'!$F$2:$H$158,3,0)</f>
        <v>Out</v>
      </c>
      <c r="J36" t="s">
        <v>103</v>
      </c>
      <c r="K36" t="s">
        <v>106</v>
      </c>
      <c r="L36" t="s">
        <v>107</v>
      </c>
      <c r="M36" t="s">
        <v>105</v>
      </c>
      <c r="S36" t="s">
        <v>99</v>
      </c>
    </row>
    <row r="37" spans="1:19" x14ac:dyDescent="0.25">
      <c r="A37" s="4">
        <v>15.2</v>
      </c>
      <c r="B37" t="s">
        <v>145</v>
      </c>
      <c r="C37" s="6" t="s">
        <v>102</v>
      </c>
      <c r="D37" s="7" t="s">
        <v>104</v>
      </c>
      <c r="E37">
        <v>11</v>
      </c>
      <c r="F37">
        <v>9.4099999999999989E-2</v>
      </c>
      <c r="G37">
        <v>1.0350999999999999</v>
      </c>
      <c r="H37" s="1">
        <v>702</v>
      </c>
      <c r="I37" s="1" t="str">
        <f>VLOOKUP(H37,'Master(Ko Xóa)'!$F$2:$H$158,3,0)</f>
        <v>Out</v>
      </c>
      <c r="J37" t="s">
        <v>103</v>
      </c>
      <c r="K37" t="s">
        <v>106</v>
      </c>
      <c r="L37" t="s">
        <v>107</v>
      </c>
      <c r="M37" t="s">
        <v>105</v>
      </c>
      <c r="S37" t="s">
        <v>99</v>
      </c>
    </row>
    <row r="38" spans="1:19" x14ac:dyDescent="0.25">
      <c r="A38" s="4">
        <v>15.2</v>
      </c>
      <c r="B38" t="s">
        <v>146</v>
      </c>
      <c r="C38" s="6" t="s">
        <v>102</v>
      </c>
      <c r="D38" s="7" t="s">
        <v>104</v>
      </c>
      <c r="E38">
        <v>2</v>
      </c>
      <c r="F38">
        <v>0.2762</v>
      </c>
      <c r="G38">
        <v>0.5524</v>
      </c>
      <c r="H38" s="1">
        <v>702</v>
      </c>
      <c r="I38" s="1" t="str">
        <f>VLOOKUP(H38,'Master(Ko Xóa)'!$F$2:$H$158,3,0)</f>
        <v>Out</v>
      </c>
      <c r="J38" t="s">
        <v>103</v>
      </c>
      <c r="K38" t="s">
        <v>106</v>
      </c>
      <c r="L38" t="s">
        <v>107</v>
      </c>
      <c r="M38" t="s">
        <v>105</v>
      </c>
      <c r="S38" t="s">
        <v>99</v>
      </c>
    </row>
    <row r="39" spans="1:19" x14ac:dyDescent="0.25">
      <c r="A39" s="4">
        <v>15.2</v>
      </c>
      <c r="B39" t="s">
        <v>147</v>
      </c>
      <c r="C39" s="6" t="s">
        <v>102</v>
      </c>
      <c r="D39" s="7" t="s">
        <v>104</v>
      </c>
      <c r="E39">
        <v>2</v>
      </c>
      <c r="F39">
        <v>0.2135</v>
      </c>
      <c r="G39">
        <v>0.42699999999999999</v>
      </c>
      <c r="H39" s="1">
        <v>702</v>
      </c>
      <c r="I39" s="1" t="str">
        <f>VLOOKUP(H39,'Master(Ko Xóa)'!$F$2:$H$158,3,0)</f>
        <v>Out</v>
      </c>
      <c r="J39" t="s">
        <v>103</v>
      </c>
      <c r="K39" t="s">
        <v>106</v>
      </c>
      <c r="L39" t="s">
        <v>107</v>
      </c>
      <c r="M39" t="s">
        <v>105</v>
      </c>
      <c r="S39" t="s">
        <v>99</v>
      </c>
    </row>
    <row r="40" spans="1:19" x14ac:dyDescent="0.25">
      <c r="A40" s="4">
        <v>15.2</v>
      </c>
      <c r="B40" t="s">
        <v>148</v>
      </c>
      <c r="C40" s="6" t="s">
        <v>102</v>
      </c>
      <c r="D40" s="7" t="s">
        <v>104</v>
      </c>
      <c r="E40">
        <v>3</v>
      </c>
      <c r="F40">
        <v>0.1341</v>
      </c>
      <c r="G40">
        <v>0.40229999999999999</v>
      </c>
      <c r="H40" s="1">
        <v>702</v>
      </c>
      <c r="I40" s="1" t="str">
        <f>VLOOKUP(H40,'Master(Ko Xóa)'!$F$2:$H$158,3,0)</f>
        <v>Out</v>
      </c>
      <c r="J40" t="s">
        <v>103</v>
      </c>
      <c r="K40" t="s">
        <v>106</v>
      </c>
      <c r="L40" t="s">
        <v>107</v>
      </c>
      <c r="M40" t="s">
        <v>105</v>
      </c>
      <c r="S40" t="s">
        <v>99</v>
      </c>
    </row>
    <row r="41" spans="1:19" x14ac:dyDescent="0.25">
      <c r="A41" s="4">
        <v>15.2</v>
      </c>
      <c r="B41" t="s">
        <v>149</v>
      </c>
      <c r="C41" s="6" t="s">
        <v>102</v>
      </c>
      <c r="D41" s="7" t="s">
        <v>104</v>
      </c>
      <c r="E41">
        <v>2</v>
      </c>
      <c r="F41">
        <v>0.1351</v>
      </c>
      <c r="G41">
        <v>0.2702</v>
      </c>
      <c r="H41" s="1">
        <v>702</v>
      </c>
      <c r="I41" s="1" t="str">
        <f>VLOOKUP(H41,'Master(Ko Xóa)'!$F$2:$H$158,3,0)</f>
        <v>Out</v>
      </c>
      <c r="J41" t="s">
        <v>103</v>
      </c>
      <c r="K41" t="s">
        <v>106</v>
      </c>
      <c r="L41" t="s">
        <v>107</v>
      </c>
      <c r="M41" t="s">
        <v>105</v>
      </c>
      <c r="S41" t="s">
        <v>99</v>
      </c>
    </row>
    <row r="42" spans="1:19" x14ac:dyDescent="0.25">
      <c r="A42" s="4">
        <v>15.2</v>
      </c>
      <c r="B42" t="s">
        <v>150</v>
      </c>
      <c r="C42" s="6" t="s">
        <v>102</v>
      </c>
      <c r="D42" s="7" t="s">
        <v>104</v>
      </c>
      <c r="E42">
        <v>3</v>
      </c>
      <c r="F42">
        <v>0.35020000000000001</v>
      </c>
      <c r="G42">
        <v>1.0506</v>
      </c>
      <c r="H42" s="1">
        <v>702</v>
      </c>
      <c r="I42" s="1" t="str">
        <f>VLOOKUP(H42,'Master(Ko Xóa)'!$F$2:$H$158,3,0)</f>
        <v>Out</v>
      </c>
      <c r="J42" t="s">
        <v>103</v>
      </c>
      <c r="K42" t="s">
        <v>106</v>
      </c>
      <c r="L42" t="s">
        <v>107</v>
      </c>
      <c r="M42" t="s">
        <v>105</v>
      </c>
      <c r="S42" t="s">
        <v>99</v>
      </c>
    </row>
    <row r="43" spans="1:19" x14ac:dyDescent="0.25">
      <c r="A43" s="4">
        <v>15.2</v>
      </c>
      <c r="B43" t="s">
        <v>151</v>
      </c>
      <c r="C43" s="6" t="s">
        <v>102</v>
      </c>
      <c r="D43" s="7" t="s">
        <v>104</v>
      </c>
      <c r="E43">
        <v>1</v>
      </c>
      <c r="F43">
        <v>0.36199999999999999</v>
      </c>
      <c r="G43">
        <v>0.36199999999999999</v>
      </c>
      <c r="H43" s="1">
        <v>702</v>
      </c>
      <c r="I43" s="1" t="str">
        <f>VLOOKUP(H43,'Master(Ko Xóa)'!$F$2:$H$158,3,0)</f>
        <v>Out</v>
      </c>
      <c r="J43" t="s">
        <v>103</v>
      </c>
      <c r="K43" t="s">
        <v>106</v>
      </c>
      <c r="L43" t="s">
        <v>107</v>
      </c>
      <c r="M43" t="s">
        <v>105</v>
      </c>
      <c r="S43" t="s">
        <v>99</v>
      </c>
    </row>
    <row r="44" spans="1:19" x14ac:dyDescent="0.25">
      <c r="A44" s="4">
        <v>15.2</v>
      </c>
      <c r="B44" t="s">
        <v>152</v>
      </c>
      <c r="C44" s="6" t="s">
        <v>102</v>
      </c>
      <c r="D44" s="7" t="s">
        <v>104</v>
      </c>
      <c r="E44">
        <v>3</v>
      </c>
      <c r="F44">
        <v>0.31680000000000003</v>
      </c>
      <c r="G44">
        <v>0.95040000000000002</v>
      </c>
      <c r="H44" s="1">
        <v>702</v>
      </c>
      <c r="I44" s="1" t="str">
        <f>VLOOKUP(H44,'Master(Ko Xóa)'!$F$2:$H$158,3,0)</f>
        <v>Out</v>
      </c>
      <c r="J44" t="s">
        <v>103</v>
      </c>
      <c r="K44" t="s">
        <v>106</v>
      </c>
      <c r="L44" t="s">
        <v>107</v>
      </c>
      <c r="M44" t="s">
        <v>105</v>
      </c>
      <c r="S44" t="s">
        <v>99</v>
      </c>
    </row>
    <row r="45" spans="1:19" x14ac:dyDescent="0.25">
      <c r="A45" s="4">
        <v>15.2</v>
      </c>
      <c r="B45" t="s">
        <v>153</v>
      </c>
      <c r="C45" s="6" t="s">
        <v>102</v>
      </c>
      <c r="D45" s="7" t="s">
        <v>104</v>
      </c>
      <c r="E45">
        <v>2</v>
      </c>
      <c r="F45">
        <v>0.11090000000000001</v>
      </c>
      <c r="G45">
        <v>0.2218</v>
      </c>
      <c r="H45" s="1">
        <v>702</v>
      </c>
      <c r="I45" s="1" t="str">
        <f>VLOOKUP(H45,'Master(Ko Xóa)'!$F$2:$H$158,3,0)</f>
        <v>Out</v>
      </c>
      <c r="J45" t="s">
        <v>103</v>
      </c>
      <c r="K45" t="s">
        <v>106</v>
      </c>
      <c r="L45" t="s">
        <v>107</v>
      </c>
      <c r="M45" t="s">
        <v>105</v>
      </c>
      <c r="S45" t="s">
        <v>99</v>
      </c>
    </row>
    <row r="46" spans="1:19" x14ac:dyDescent="0.25">
      <c r="A46" s="4">
        <v>15.2</v>
      </c>
      <c r="B46" t="s">
        <v>154</v>
      </c>
      <c r="C46" s="6" t="s">
        <v>102</v>
      </c>
      <c r="D46" s="7" t="s">
        <v>104</v>
      </c>
      <c r="E46">
        <v>6</v>
      </c>
      <c r="F46">
        <v>9.4E-2</v>
      </c>
      <c r="G46">
        <v>0.56399999999999995</v>
      </c>
      <c r="H46" s="1">
        <v>702</v>
      </c>
      <c r="I46" s="1" t="str">
        <f>VLOOKUP(H46,'Master(Ko Xóa)'!$F$2:$H$158,3,0)</f>
        <v>Out</v>
      </c>
      <c r="J46" t="s">
        <v>103</v>
      </c>
      <c r="K46" t="s">
        <v>106</v>
      </c>
      <c r="L46" t="s">
        <v>107</v>
      </c>
      <c r="M46" t="s">
        <v>105</v>
      </c>
      <c r="S46" t="s">
        <v>99</v>
      </c>
    </row>
    <row r="47" spans="1:19" x14ac:dyDescent="0.25">
      <c r="A47" s="4">
        <v>15.2</v>
      </c>
      <c r="B47" t="s">
        <v>155</v>
      </c>
      <c r="C47" s="6" t="s">
        <v>102</v>
      </c>
      <c r="D47" s="7" t="s">
        <v>104</v>
      </c>
      <c r="E47">
        <v>10</v>
      </c>
      <c r="F47">
        <v>1.11E-2</v>
      </c>
      <c r="G47">
        <v>0.111</v>
      </c>
      <c r="H47" s="1">
        <v>702</v>
      </c>
      <c r="I47" s="1" t="str">
        <f>VLOOKUP(H47,'Master(Ko Xóa)'!$F$2:$H$158,3,0)</f>
        <v>Out</v>
      </c>
      <c r="J47" t="s">
        <v>103</v>
      </c>
      <c r="K47" t="s">
        <v>106</v>
      </c>
      <c r="L47" t="s">
        <v>107</v>
      </c>
      <c r="M47" t="s">
        <v>105</v>
      </c>
      <c r="S47" t="s">
        <v>99</v>
      </c>
    </row>
    <row r="48" spans="1:19" x14ac:dyDescent="0.25">
      <c r="A48" s="4">
        <v>15.2</v>
      </c>
      <c r="B48" t="s">
        <v>156</v>
      </c>
      <c r="C48" s="6" t="s">
        <v>102</v>
      </c>
      <c r="D48" s="7" t="s">
        <v>104</v>
      </c>
      <c r="E48">
        <v>2</v>
      </c>
      <c r="F48">
        <v>1.24E-2</v>
      </c>
      <c r="G48">
        <v>2.4799999999999999E-2</v>
      </c>
      <c r="H48" s="1">
        <v>702</v>
      </c>
      <c r="I48" s="1" t="str">
        <f>VLOOKUP(H48,'Master(Ko Xóa)'!$F$2:$H$158,3,0)</f>
        <v>Out</v>
      </c>
      <c r="J48" t="s">
        <v>103</v>
      </c>
      <c r="K48" t="s">
        <v>106</v>
      </c>
      <c r="L48" t="s">
        <v>107</v>
      </c>
      <c r="M48" t="s">
        <v>105</v>
      </c>
      <c r="S48" t="s">
        <v>99</v>
      </c>
    </row>
    <row r="49" spans="1:19" x14ac:dyDescent="0.25">
      <c r="A49" s="4">
        <v>15.2</v>
      </c>
      <c r="B49" t="s">
        <v>157</v>
      </c>
      <c r="C49" s="6" t="s">
        <v>102</v>
      </c>
      <c r="D49" s="7" t="s">
        <v>104</v>
      </c>
      <c r="E49">
        <v>2</v>
      </c>
      <c r="F49">
        <v>9.1799999999999993E-2</v>
      </c>
      <c r="G49">
        <v>0.18360000000000001</v>
      </c>
      <c r="H49" s="1">
        <v>702</v>
      </c>
      <c r="I49" s="1" t="str">
        <f>VLOOKUP(H49,'Master(Ko Xóa)'!$F$2:$H$158,3,0)</f>
        <v>Out</v>
      </c>
      <c r="J49" t="s">
        <v>103</v>
      </c>
      <c r="K49" t="s">
        <v>106</v>
      </c>
      <c r="L49" t="s">
        <v>107</v>
      </c>
      <c r="M49" t="s">
        <v>105</v>
      </c>
      <c r="S49" t="s">
        <v>99</v>
      </c>
    </row>
    <row r="50" spans="1:19" x14ac:dyDescent="0.25">
      <c r="A50" s="4">
        <v>15.2</v>
      </c>
      <c r="B50" t="s">
        <v>158</v>
      </c>
      <c r="C50" s="6" t="s">
        <v>102</v>
      </c>
      <c r="D50" s="7" t="s">
        <v>104</v>
      </c>
      <c r="E50">
        <v>9</v>
      </c>
      <c r="F50">
        <v>3.56E-2</v>
      </c>
      <c r="G50">
        <v>0.32040000000000002</v>
      </c>
      <c r="H50" s="1">
        <v>702</v>
      </c>
      <c r="I50" s="1" t="str">
        <f>VLOOKUP(H50,'Master(Ko Xóa)'!$F$2:$H$158,3,0)</f>
        <v>Out</v>
      </c>
      <c r="J50" t="s">
        <v>103</v>
      </c>
      <c r="K50" t="s">
        <v>106</v>
      </c>
      <c r="L50" t="s">
        <v>107</v>
      </c>
      <c r="M50" t="s">
        <v>105</v>
      </c>
      <c r="S50" t="s">
        <v>99</v>
      </c>
    </row>
    <row r="51" spans="1:19" x14ac:dyDescent="0.25">
      <c r="A51" s="4">
        <v>15.2</v>
      </c>
      <c r="B51" t="s">
        <v>159</v>
      </c>
      <c r="C51" s="6" t="s">
        <v>102</v>
      </c>
      <c r="D51" s="7" t="s">
        <v>104</v>
      </c>
      <c r="E51">
        <v>2</v>
      </c>
      <c r="F51">
        <v>0.13</v>
      </c>
      <c r="G51">
        <v>0.26</v>
      </c>
      <c r="H51" s="1">
        <v>702</v>
      </c>
      <c r="I51" s="1" t="str">
        <f>VLOOKUP(H51,'Master(Ko Xóa)'!$F$2:$H$158,3,0)</f>
        <v>Out</v>
      </c>
      <c r="J51" t="s">
        <v>103</v>
      </c>
      <c r="K51" t="s">
        <v>106</v>
      </c>
      <c r="L51" t="s">
        <v>107</v>
      </c>
      <c r="M51" t="s">
        <v>105</v>
      </c>
      <c r="S51" t="s">
        <v>99</v>
      </c>
    </row>
    <row r="52" spans="1:19" x14ac:dyDescent="0.25">
      <c r="A52" s="4">
        <v>15.2</v>
      </c>
      <c r="B52" t="s">
        <v>160</v>
      </c>
      <c r="C52" s="6" t="s">
        <v>102</v>
      </c>
      <c r="D52" s="7" t="s">
        <v>104</v>
      </c>
      <c r="E52">
        <v>2</v>
      </c>
      <c r="F52">
        <v>0.2152</v>
      </c>
      <c r="G52">
        <v>0.4304</v>
      </c>
      <c r="H52" s="1">
        <v>702</v>
      </c>
      <c r="I52" s="1" t="str">
        <f>VLOOKUP(H52,'Master(Ko Xóa)'!$F$2:$H$158,3,0)</f>
        <v>Out</v>
      </c>
      <c r="J52" t="s">
        <v>103</v>
      </c>
      <c r="K52" t="s">
        <v>106</v>
      </c>
      <c r="L52" t="s">
        <v>107</v>
      </c>
      <c r="M52" t="s">
        <v>105</v>
      </c>
      <c r="S52" t="s">
        <v>99</v>
      </c>
    </row>
    <row r="53" spans="1:19" x14ac:dyDescent="0.25">
      <c r="A53" s="4">
        <v>15.2</v>
      </c>
      <c r="B53" t="s">
        <v>161</v>
      </c>
      <c r="C53" s="6" t="s">
        <v>102</v>
      </c>
      <c r="D53" s="7" t="s">
        <v>104</v>
      </c>
      <c r="E53">
        <v>1</v>
      </c>
      <c r="F53">
        <v>1.143</v>
      </c>
      <c r="G53">
        <v>1.143</v>
      </c>
      <c r="H53" s="1">
        <v>702</v>
      </c>
      <c r="I53" s="1" t="str">
        <f>VLOOKUP(H53,'Master(Ko Xóa)'!$F$2:$H$158,3,0)</f>
        <v>Out</v>
      </c>
      <c r="J53" t="s">
        <v>103</v>
      </c>
      <c r="K53" t="s">
        <v>106</v>
      </c>
      <c r="L53" t="s">
        <v>107</v>
      </c>
      <c r="M53" t="s">
        <v>105</v>
      </c>
      <c r="S53" t="s">
        <v>99</v>
      </c>
    </row>
    <row r="54" spans="1:19" x14ac:dyDescent="0.25">
      <c r="A54" s="4">
        <v>15.2</v>
      </c>
      <c r="B54" t="s">
        <v>162</v>
      </c>
      <c r="C54" s="6" t="s">
        <v>102</v>
      </c>
      <c r="D54" s="7" t="s">
        <v>104</v>
      </c>
      <c r="E54">
        <v>2</v>
      </c>
      <c r="F54">
        <v>0.41789999999999999</v>
      </c>
      <c r="G54">
        <v>0.83579999999999999</v>
      </c>
      <c r="H54" s="1">
        <v>702</v>
      </c>
      <c r="I54" s="1" t="str">
        <f>VLOOKUP(H54,'Master(Ko Xóa)'!$F$2:$H$158,3,0)</f>
        <v>Out</v>
      </c>
      <c r="J54" t="s">
        <v>103</v>
      </c>
      <c r="K54" t="s">
        <v>106</v>
      </c>
      <c r="L54" t="s">
        <v>107</v>
      </c>
      <c r="M54" t="s">
        <v>105</v>
      </c>
      <c r="S54" t="s">
        <v>99</v>
      </c>
    </row>
    <row r="55" spans="1:19" x14ac:dyDescent="0.25">
      <c r="A55" s="4">
        <v>15.2</v>
      </c>
      <c r="B55" t="s">
        <v>163</v>
      </c>
      <c r="C55" s="6" t="s">
        <v>102</v>
      </c>
      <c r="D55" s="7" t="s">
        <v>104</v>
      </c>
      <c r="E55">
        <v>1</v>
      </c>
      <c r="F55">
        <v>0.441</v>
      </c>
      <c r="G55">
        <v>0.441</v>
      </c>
      <c r="H55" s="1">
        <v>702</v>
      </c>
      <c r="I55" s="1" t="str">
        <f>VLOOKUP(H55,'Master(Ko Xóa)'!$F$2:$H$158,3,0)</f>
        <v>Out</v>
      </c>
      <c r="J55" t="s">
        <v>103</v>
      </c>
      <c r="K55" t="s">
        <v>106</v>
      </c>
      <c r="L55" t="s">
        <v>107</v>
      </c>
      <c r="M55" t="s">
        <v>105</v>
      </c>
      <c r="S55" t="s">
        <v>99</v>
      </c>
    </row>
    <row r="56" spans="1:19" x14ac:dyDescent="0.25">
      <c r="A56" s="4">
        <v>15.2</v>
      </c>
      <c r="B56" t="s">
        <v>164</v>
      </c>
      <c r="C56" s="6" t="s">
        <v>102</v>
      </c>
      <c r="D56" s="7" t="s">
        <v>104</v>
      </c>
      <c r="E56">
        <v>1</v>
      </c>
      <c r="F56">
        <v>0.378</v>
      </c>
      <c r="G56">
        <v>0.378</v>
      </c>
      <c r="H56" s="1">
        <v>702</v>
      </c>
      <c r="I56" s="1" t="str">
        <f>VLOOKUP(H56,'Master(Ko Xóa)'!$F$2:$H$158,3,0)</f>
        <v>Out</v>
      </c>
      <c r="J56" t="s">
        <v>103</v>
      </c>
      <c r="K56" t="s">
        <v>106</v>
      </c>
      <c r="L56" t="s">
        <v>107</v>
      </c>
      <c r="M56" t="s">
        <v>105</v>
      </c>
      <c r="S56" t="s">
        <v>99</v>
      </c>
    </row>
    <row r="57" spans="1:19" x14ac:dyDescent="0.25">
      <c r="A57" s="4">
        <v>15.2</v>
      </c>
      <c r="B57" t="s">
        <v>165</v>
      </c>
      <c r="C57" s="6" t="s">
        <v>102</v>
      </c>
      <c r="D57" s="7" t="s">
        <v>104</v>
      </c>
      <c r="E57">
        <v>2</v>
      </c>
      <c r="F57">
        <v>1.2999999999999999E-3</v>
      </c>
      <c r="G57">
        <v>2.5999999999999999E-3</v>
      </c>
      <c r="H57" s="1">
        <v>702</v>
      </c>
      <c r="I57" s="1" t="str">
        <f>VLOOKUP(H57,'Master(Ko Xóa)'!$F$2:$H$158,3,0)</f>
        <v>Out</v>
      </c>
      <c r="J57" t="s">
        <v>103</v>
      </c>
      <c r="K57" t="s">
        <v>106</v>
      </c>
      <c r="L57" t="s">
        <v>107</v>
      </c>
      <c r="M57" t="s">
        <v>105</v>
      </c>
      <c r="S57" t="s">
        <v>99</v>
      </c>
    </row>
    <row r="58" spans="1:19" x14ac:dyDescent="0.25">
      <c r="A58" s="4">
        <v>15.2</v>
      </c>
      <c r="B58" t="s">
        <v>166</v>
      </c>
      <c r="C58" s="6" t="s">
        <v>102</v>
      </c>
      <c r="D58" s="7" t="s">
        <v>104</v>
      </c>
      <c r="E58">
        <v>9</v>
      </c>
      <c r="F58">
        <v>8.3000000000000001E-3</v>
      </c>
      <c r="G58">
        <v>7.4700000000000003E-2</v>
      </c>
      <c r="H58" s="1">
        <v>702</v>
      </c>
      <c r="I58" s="1" t="str">
        <f>VLOOKUP(H58,'Master(Ko Xóa)'!$F$2:$H$158,3,0)</f>
        <v>Out</v>
      </c>
      <c r="J58" t="s">
        <v>103</v>
      </c>
      <c r="K58" t="s">
        <v>106</v>
      </c>
      <c r="L58" t="s">
        <v>107</v>
      </c>
      <c r="M58" t="s">
        <v>105</v>
      </c>
      <c r="S58" t="s">
        <v>99</v>
      </c>
    </row>
    <row r="59" spans="1:19" x14ac:dyDescent="0.25">
      <c r="A59" s="4">
        <v>15.2</v>
      </c>
      <c r="B59" t="s">
        <v>167</v>
      </c>
      <c r="C59" s="6" t="s">
        <v>102</v>
      </c>
      <c r="D59" s="7" t="s">
        <v>104</v>
      </c>
      <c r="E59">
        <v>1</v>
      </c>
      <c r="F59">
        <v>8.4589999999999999E-2</v>
      </c>
      <c r="G59">
        <v>8.4589999999999999E-2</v>
      </c>
      <c r="H59" s="1">
        <v>702</v>
      </c>
      <c r="I59" s="1" t="str">
        <f>VLOOKUP(H59,'Master(Ko Xóa)'!$F$2:$H$158,3,0)</f>
        <v>Out</v>
      </c>
      <c r="J59" t="s">
        <v>103</v>
      </c>
      <c r="K59" t="s">
        <v>106</v>
      </c>
      <c r="L59" t="s">
        <v>107</v>
      </c>
      <c r="M59" t="s">
        <v>105</v>
      </c>
      <c r="S59" t="s">
        <v>99</v>
      </c>
    </row>
    <row r="60" spans="1:19" x14ac:dyDescent="0.25">
      <c r="A60" s="4">
        <v>15.2</v>
      </c>
      <c r="B60" t="s">
        <v>168</v>
      </c>
      <c r="C60" s="6" t="s">
        <v>102</v>
      </c>
      <c r="D60" s="7" t="s">
        <v>104</v>
      </c>
      <c r="E60">
        <v>4</v>
      </c>
      <c r="F60">
        <v>5.3899999999999997E-2</v>
      </c>
      <c r="G60">
        <v>0.21560000000000001</v>
      </c>
      <c r="H60" s="1">
        <v>702</v>
      </c>
      <c r="I60" s="1" t="str">
        <f>VLOOKUP(H60,'Master(Ko Xóa)'!$F$2:$H$158,3,0)</f>
        <v>Out</v>
      </c>
      <c r="J60" t="s">
        <v>103</v>
      </c>
      <c r="K60" t="s">
        <v>106</v>
      </c>
      <c r="L60" t="s">
        <v>107</v>
      </c>
      <c r="M60" t="s">
        <v>105</v>
      </c>
      <c r="S60" t="s">
        <v>99</v>
      </c>
    </row>
    <row r="61" spans="1:19" x14ac:dyDescent="0.25">
      <c r="A61" s="4">
        <v>15.2</v>
      </c>
      <c r="B61" t="s">
        <v>169</v>
      </c>
      <c r="C61" s="6" t="s">
        <v>102</v>
      </c>
      <c r="D61" s="7" t="s">
        <v>104</v>
      </c>
      <c r="E61">
        <v>3</v>
      </c>
      <c r="F61">
        <v>9.98E-2</v>
      </c>
      <c r="G61">
        <v>0.2994</v>
      </c>
      <c r="H61" s="1">
        <v>702</v>
      </c>
      <c r="I61" s="1" t="str">
        <f>VLOOKUP(H61,'Master(Ko Xóa)'!$F$2:$H$158,3,0)</f>
        <v>Out</v>
      </c>
      <c r="J61" t="s">
        <v>103</v>
      </c>
      <c r="K61" t="s">
        <v>106</v>
      </c>
      <c r="L61" t="s">
        <v>107</v>
      </c>
      <c r="M61" t="s">
        <v>105</v>
      </c>
      <c r="S61" t="s">
        <v>99</v>
      </c>
    </row>
    <row r="62" spans="1:19" x14ac:dyDescent="0.25">
      <c r="A62" s="4">
        <v>15.2</v>
      </c>
      <c r="B62" t="s">
        <v>170</v>
      </c>
      <c r="C62" s="6" t="s">
        <v>102</v>
      </c>
      <c r="D62" s="7" t="s">
        <v>104</v>
      </c>
      <c r="E62">
        <v>3</v>
      </c>
      <c r="F62">
        <v>8.4680000000000005E-2</v>
      </c>
      <c r="G62">
        <v>0.25403999999999999</v>
      </c>
      <c r="H62" s="1">
        <v>702</v>
      </c>
      <c r="I62" s="1" t="str">
        <f>VLOOKUP(H62,'Master(Ko Xóa)'!$F$2:$H$158,3,0)</f>
        <v>Out</v>
      </c>
      <c r="J62" t="s">
        <v>103</v>
      </c>
      <c r="K62" t="s">
        <v>106</v>
      </c>
      <c r="L62" t="s">
        <v>107</v>
      </c>
      <c r="M62" t="s">
        <v>105</v>
      </c>
      <c r="S62" t="s">
        <v>99</v>
      </c>
    </row>
    <row r="63" spans="1:19" x14ac:dyDescent="0.25">
      <c r="A63" s="4">
        <v>15.2</v>
      </c>
      <c r="B63" t="s">
        <v>171</v>
      </c>
      <c r="C63" s="6" t="s">
        <v>102</v>
      </c>
      <c r="D63" s="7" t="s">
        <v>104</v>
      </c>
      <c r="E63">
        <v>33</v>
      </c>
      <c r="F63">
        <v>8.77E-3</v>
      </c>
      <c r="G63">
        <v>0.28941</v>
      </c>
      <c r="H63" s="1">
        <v>702</v>
      </c>
      <c r="I63" s="1" t="str">
        <f>VLOOKUP(H63,'Master(Ko Xóa)'!$F$2:$H$158,3,0)</f>
        <v>Out</v>
      </c>
      <c r="J63" t="s">
        <v>103</v>
      </c>
      <c r="K63" t="s">
        <v>106</v>
      </c>
      <c r="L63" t="s">
        <v>107</v>
      </c>
      <c r="M63" t="s">
        <v>105</v>
      </c>
      <c r="S63" t="s">
        <v>99</v>
      </c>
    </row>
    <row r="64" spans="1:19" x14ac:dyDescent="0.25">
      <c r="A64" s="4">
        <v>15.2</v>
      </c>
      <c r="B64" t="s">
        <v>172</v>
      </c>
      <c r="C64" s="6" t="s">
        <v>102</v>
      </c>
      <c r="D64" s="7" t="s">
        <v>104</v>
      </c>
      <c r="E64">
        <v>51</v>
      </c>
      <c r="F64">
        <v>1.32E-2</v>
      </c>
      <c r="G64">
        <v>0.67320000000000002</v>
      </c>
      <c r="H64" s="1">
        <v>702</v>
      </c>
      <c r="I64" s="1" t="str">
        <f>VLOOKUP(H64,'Master(Ko Xóa)'!$F$2:$H$158,3,0)</f>
        <v>Out</v>
      </c>
      <c r="J64" t="s">
        <v>103</v>
      </c>
      <c r="K64" t="s">
        <v>106</v>
      </c>
      <c r="L64" t="s">
        <v>107</v>
      </c>
      <c r="M64" t="s">
        <v>105</v>
      </c>
      <c r="S64" t="s">
        <v>99</v>
      </c>
    </row>
    <row r="65" spans="1:19" x14ac:dyDescent="0.25">
      <c r="A65" s="4">
        <v>15.2</v>
      </c>
      <c r="B65" t="s">
        <v>173</v>
      </c>
      <c r="C65" s="6" t="s">
        <v>102</v>
      </c>
      <c r="D65" s="7" t="s">
        <v>104</v>
      </c>
      <c r="E65">
        <v>1</v>
      </c>
      <c r="F65">
        <v>1.2999999999999999E-2</v>
      </c>
      <c r="G65">
        <v>1.2999999999999999E-2</v>
      </c>
      <c r="H65" s="1">
        <v>702</v>
      </c>
      <c r="I65" s="1" t="str">
        <f>VLOOKUP(H65,'Master(Ko Xóa)'!$F$2:$H$158,3,0)</f>
        <v>Out</v>
      </c>
      <c r="J65" t="s">
        <v>103</v>
      </c>
      <c r="K65" t="s">
        <v>106</v>
      </c>
      <c r="L65" t="s">
        <v>107</v>
      </c>
      <c r="M65" t="s">
        <v>105</v>
      </c>
      <c r="S65" t="s">
        <v>99</v>
      </c>
    </row>
    <row r="66" spans="1:19" x14ac:dyDescent="0.25">
      <c r="A66" s="4">
        <v>15.2</v>
      </c>
      <c r="B66" t="s">
        <v>174</v>
      </c>
      <c r="C66" s="6" t="s">
        <v>102</v>
      </c>
      <c r="D66" s="7" t="s">
        <v>104</v>
      </c>
      <c r="E66">
        <v>6</v>
      </c>
      <c r="F66">
        <v>1.694E-2</v>
      </c>
      <c r="G66">
        <v>0.10163999999999999</v>
      </c>
      <c r="H66" s="1">
        <v>702</v>
      </c>
      <c r="I66" s="1" t="str">
        <f>VLOOKUP(H66,'Master(Ko Xóa)'!$F$2:$H$158,3,0)</f>
        <v>Out</v>
      </c>
      <c r="J66" t="s">
        <v>103</v>
      </c>
      <c r="K66" t="s">
        <v>106</v>
      </c>
      <c r="L66" t="s">
        <v>107</v>
      </c>
      <c r="M66" t="s">
        <v>105</v>
      </c>
      <c r="S66" t="s">
        <v>99</v>
      </c>
    </row>
    <row r="67" spans="1:19" x14ac:dyDescent="0.25">
      <c r="A67" s="4">
        <v>15.2</v>
      </c>
      <c r="B67" t="s">
        <v>175</v>
      </c>
      <c r="C67" s="6" t="s">
        <v>102</v>
      </c>
      <c r="D67" s="7" t="s">
        <v>104</v>
      </c>
      <c r="E67">
        <v>10</v>
      </c>
      <c r="F67">
        <v>1.6E-2</v>
      </c>
      <c r="G67">
        <v>0.16</v>
      </c>
      <c r="H67" s="1">
        <v>702</v>
      </c>
      <c r="I67" s="1" t="str">
        <f>VLOOKUP(H67,'Master(Ko Xóa)'!$F$2:$H$158,3,0)</f>
        <v>Out</v>
      </c>
      <c r="J67" t="s">
        <v>103</v>
      </c>
      <c r="K67" t="s">
        <v>106</v>
      </c>
      <c r="L67" t="s">
        <v>107</v>
      </c>
      <c r="M67" t="s">
        <v>105</v>
      </c>
      <c r="S67" t="s">
        <v>99</v>
      </c>
    </row>
    <row r="68" spans="1:19" x14ac:dyDescent="0.25">
      <c r="A68" s="4">
        <v>15.2</v>
      </c>
      <c r="B68" t="s">
        <v>176</v>
      </c>
      <c r="C68" s="6" t="s">
        <v>102</v>
      </c>
      <c r="D68" s="7" t="s">
        <v>104</v>
      </c>
      <c r="E68">
        <v>15</v>
      </c>
      <c r="F68">
        <v>9.9000000000000008E-3</v>
      </c>
      <c r="G68">
        <v>0.14849999999999999</v>
      </c>
      <c r="H68" s="1">
        <v>702</v>
      </c>
      <c r="I68" s="1" t="str">
        <f>VLOOKUP(H68,'Master(Ko Xóa)'!$F$2:$H$158,3,0)</f>
        <v>Out</v>
      </c>
      <c r="J68" t="s">
        <v>103</v>
      </c>
      <c r="K68" t="s">
        <v>106</v>
      </c>
      <c r="L68" t="s">
        <v>107</v>
      </c>
      <c r="M68" t="s">
        <v>105</v>
      </c>
      <c r="S68" t="s">
        <v>99</v>
      </c>
    </row>
    <row r="69" spans="1:19" x14ac:dyDescent="0.25">
      <c r="A69" s="4">
        <v>15.2</v>
      </c>
      <c r="B69" t="s">
        <v>177</v>
      </c>
      <c r="C69" s="6" t="s">
        <v>102</v>
      </c>
      <c r="D69" s="7" t="s">
        <v>104</v>
      </c>
      <c r="E69">
        <v>2</v>
      </c>
      <c r="F69">
        <v>0.14380000000000001</v>
      </c>
      <c r="G69">
        <v>0.28760000000000002</v>
      </c>
      <c r="H69" s="1">
        <v>702</v>
      </c>
      <c r="I69" s="1" t="str">
        <f>VLOOKUP(H69,'Master(Ko Xóa)'!$F$2:$H$158,3,0)</f>
        <v>Out</v>
      </c>
      <c r="J69" t="s">
        <v>103</v>
      </c>
      <c r="K69" t="s">
        <v>106</v>
      </c>
      <c r="L69" t="s">
        <v>107</v>
      </c>
      <c r="M69" t="s">
        <v>105</v>
      </c>
      <c r="S69" t="s">
        <v>99</v>
      </c>
    </row>
    <row r="70" spans="1:19" x14ac:dyDescent="0.25">
      <c r="A70" s="4">
        <v>15.2</v>
      </c>
      <c r="B70" t="s">
        <v>108</v>
      </c>
      <c r="C70" s="6" t="s">
        <v>102</v>
      </c>
      <c r="D70" s="7" t="s">
        <v>104</v>
      </c>
      <c r="E70">
        <v>12</v>
      </c>
      <c r="F70">
        <v>1.16E-3</v>
      </c>
      <c r="G70">
        <v>1.392E-2</v>
      </c>
      <c r="H70" s="1">
        <v>702</v>
      </c>
      <c r="I70" s="1" t="str">
        <f>VLOOKUP(H70,'Master(Ko Xóa)'!$F$2:$H$158,3,0)</f>
        <v>Out</v>
      </c>
      <c r="J70" t="s">
        <v>103</v>
      </c>
      <c r="K70" t="s">
        <v>106</v>
      </c>
      <c r="L70" t="s">
        <v>107</v>
      </c>
      <c r="M70" t="s">
        <v>105</v>
      </c>
      <c r="S70" t="s">
        <v>99</v>
      </c>
    </row>
    <row r="71" spans="1:19" x14ac:dyDescent="0.25">
      <c r="A71" s="4">
        <v>15.2</v>
      </c>
      <c r="B71" t="s">
        <v>178</v>
      </c>
      <c r="C71" s="6" t="s">
        <v>102</v>
      </c>
      <c r="D71" s="7" t="s">
        <v>104</v>
      </c>
      <c r="E71">
        <v>12</v>
      </c>
      <c r="F71">
        <v>2.5499999999999997E-3</v>
      </c>
      <c r="G71">
        <v>3.0599999999999999E-2</v>
      </c>
      <c r="H71" s="1">
        <v>702</v>
      </c>
      <c r="I71" s="1" t="str">
        <f>VLOOKUP(H71,'Master(Ko Xóa)'!$F$2:$H$158,3,0)</f>
        <v>Out</v>
      </c>
      <c r="J71" t="s">
        <v>103</v>
      </c>
      <c r="K71" t="s">
        <v>106</v>
      </c>
      <c r="L71" t="s">
        <v>107</v>
      </c>
      <c r="M71" t="s">
        <v>105</v>
      </c>
      <c r="S71" t="s">
        <v>99</v>
      </c>
    </row>
    <row r="72" spans="1:19" x14ac:dyDescent="0.25">
      <c r="A72" s="4">
        <v>15.2</v>
      </c>
      <c r="B72" t="s">
        <v>179</v>
      </c>
      <c r="C72" s="6" t="s">
        <v>102</v>
      </c>
      <c r="D72" s="7" t="s">
        <v>104</v>
      </c>
      <c r="E72">
        <v>5</v>
      </c>
      <c r="F72">
        <v>8.0000000000000002E-3</v>
      </c>
      <c r="G72">
        <v>0.04</v>
      </c>
      <c r="H72" s="1">
        <v>702</v>
      </c>
      <c r="I72" s="1" t="str">
        <f>VLOOKUP(H72,'Master(Ko Xóa)'!$F$2:$H$158,3,0)</f>
        <v>Out</v>
      </c>
      <c r="J72" t="s">
        <v>103</v>
      </c>
      <c r="K72" t="s">
        <v>106</v>
      </c>
      <c r="L72" t="s">
        <v>107</v>
      </c>
      <c r="M72" t="s">
        <v>105</v>
      </c>
      <c r="S72" t="s">
        <v>99</v>
      </c>
    </row>
    <row r="73" spans="1:19" x14ac:dyDescent="0.25">
      <c r="A73" s="4">
        <v>15.2</v>
      </c>
      <c r="B73" t="s">
        <v>180</v>
      </c>
      <c r="C73" s="6" t="s">
        <v>102</v>
      </c>
      <c r="D73" s="7" t="s">
        <v>104</v>
      </c>
      <c r="E73">
        <v>9</v>
      </c>
      <c r="F73">
        <v>6.0000000000000001E-3</v>
      </c>
      <c r="G73">
        <v>5.3999999999999999E-2</v>
      </c>
      <c r="H73" s="1">
        <v>702</v>
      </c>
      <c r="I73" s="1" t="str">
        <f>VLOOKUP(H73,'Master(Ko Xóa)'!$F$2:$H$158,3,0)</f>
        <v>Out</v>
      </c>
      <c r="J73" t="s">
        <v>103</v>
      </c>
      <c r="K73" t="s">
        <v>106</v>
      </c>
      <c r="L73" t="s">
        <v>107</v>
      </c>
      <c r="M73" t="s">
        <v>105</v>
      </c>
      <c r="S73" t="s">
        <v>99</v>
      </c>
    </row>
    <row r="74" spans="1:19" x14ac:dyDescent="0.25">
      <c r="A74" s="4">
        <v>15.2</v>
      </c>
      <c r="B74" t="s">
        <v>109</v>
      </c>
      <c r="C74" s="6" t="s">
        <v>102</v>
      </c>
      <c r="D74" s="7" t="s">
        <v>104</v>
      </c>
      <c r="E74">
        <v>4</v>
      </c>
      <c r="F74">
        <v>2.1000000000000003E-3</v>
      </c>
      <c r="G74">
        <v>8.3999999999999995E-3</v>
      </c>
      <c r="H74" s="1">
        <v>702</v>
      </c>
      <c r="I74" s="1" t="str">
        <f>VLOOKUP(H74,'Master(Ko Xóa)'!$F$2:$H$158,3,0)</f>
        <v>Out</v>
      </c>
      <c r="J74" t="s">
        <v>103</v>
      </c>
      <c r="K74" t="s">
        <v>106</v>
      </c>
      <c r="L74" t="s">
        <v>107</v>
      </c>
      <c r="M74" t="s">
        <v>105</v>
      </c>
      <c r="S74" t="s">
        <v>99</v>
      </c>
    </row>
    <row r="75" spans="1:19" x14ac:dyDescent="0.25">
      <c r="A75" s="4">
        <v>15.2</v>
      </c>
      <c r="B75" t="s">
        <v>181</v>
      </c>
      <c r="C75" s="6" t="s">
        <v>102</v>
      </c>
      <c r="D75" s="7" t="s">
        <v>104</v>
      </c>
      <c r="E75">
        <v>2</v>
      </c>
      <c r="F75">
        <v>4.0999999999999995E-3</v>
      </c>
      <c r="G75">
        <v>8.2000000000000007E-3</v>
      </c>
      <c r="H75" s="1">
        <v>702</v>
      </c>
      <c r="I75" s="1" t="str">
        <f>VLOOKUP(H75,'Master(Ko Xóa)'!$F$2:$H$158,3,0)</f>
        <v>Out</v>
      </c>
      <c r="J75" t="s">
        <v>103</v>
      </c>
      <c r="K75" t="s">
        <v>106</v>
      </c>
      <c r="L75" t="s">
        <v>107</v>
      </c>
      <c r="M75" t="s">
        <v>105</v>
      </c>
      <c r="S75" t="s">
        <v>99</v>
      </c>
    </row>
    <row r="76" spans="1:19" x14ac:dyDescent="0.25">
      <c r="A76" s="4">
        <v>15.2</v>
      </c>
      <c r="B76" t="s">
        <v>182</v>
      </c>
      <c r="C76" s="6" t="s">
        <v>102</v>
      </c>
      <c r="D76" s="7" t="s">
        <v>104</v>
      </c>
      <c r="E76">
        <v>70</v>
      </c>
      <c r="F76">
        <v>3.0999999999999999E-3</v>
      </c>
      <c r="G76">
        <v>0.217</v>
      </c>
      <c r="H76" s="1">
        <v>702</v>
      </c>
      <c r="I76" s="1" t="str">
        <f>VLOOKUP(H76,'Master(Ko Xóa)'!$F$2:$H$158,3,0)</f>
        <v>Out</v>
      </c>
      <c r="J76" t="s">
        <v>103</v>
      </c>
      <c r="K76" t="s">
        <v>106</v>
      </c>
      <c r="L76" t="s">
        <v>107</v>
      </c>
      <c r="M76" t="s">
        <v>105</v>
      </c>
      <c r="S76" t="s">
        <v>99</v>
      </c>
    </row>
  </sheetData>
  <autoFilter ref="A1:S76" xr:uid="{00000000-0001-0000-0000-000000000000}"/>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'Master(Ko Xóa)'!$A$2:$A$34</xm:f>
          </x14:formula1>
          <xm:sqref>A2:A76</xm:sqref>
        </x14:dataValidation>
        <x14:dataValidation type="list" allowBlank="1" showInputMessage="1" showErrorMessage="1" xr:uid="{10327712-73EA-4ECE-85DB-CC1BD40E26B7}">
          <x14:formula1>
            <xm:f>'Master(Ko Xóa)'!$Q$2:$Q$5</xm:f>
          </x14:formula1>
          <xm:sqref>S2:S76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
  <sheetViews>
    <sheetView workbookViewId="0">
      <selection activeCell="Q14" sqref="Q14"/>
    </sheetView>
  </sheetViews>
  <sheetFormatPr defaultColWidth="11.140625" defaultRowHeight="15" x14ac:dyDescent="0.25"/>
  <cols>
    <col min="5" max="5" width="45.5703125" customWidth="1"/>
    <col min="6" max="6" width="4.85546875" bestFit="1" customWidth="1"/>
    <col min="7" max="7" width="27" customWidth="1"/>
  </cols>
  <sheetData>
    <row r="1" spans="1:17" x14ac:dyDescent="0.25">
      <c r="A1" t="s">
        <v>15</v>
      </c>
      <c r="D1" t="s">
        <v>15</v>
      </c>
      <c r="E1" t="s">
        <v>16</v>
      </c>
      <c r="G1" t="s">
        <v>17</v>
      </c>
      <c r="H1" t="s">
        <v>18</v>
      </c>
    </row>
    <row r="2" spans="1:17" x14ac:dyDescent="0.25">
      <c r="A2">
        <v>1</v>
      </c>
      <c r="D2">
        <v>1</v>
      </c>
      <c r="E2" t="s">
        <v>19</v>
      </c>
      <c r="F2">
        <v>201</v>
      </c>
      <c r="G2" t="s">
        <v>20</v>
      </c>
      <c r="H2" t="s">
        <v>21</v>
      </c>
      <c r="K2">
        <f>F2</f>
        <v>201</v>
      </c>
      <c r="N2" t="s">
        <v>16</v>
      </c>
      <c r="O2" t="e">
        <f>VLOOKUP(Sheet1!#REF!,'Master(Ko Xóa)'!$D$2:$K$158,8,0)</f>
        <v>#REF!</v>
      </c>
      <c r="Q2" t="s">
        <v>98</v>
      </c>
    </row>
    <row r="3" spans="1:17" x14ac:dyDescent="0.25">
      <c r="A3">
        <v>2</v>
      </c>
      <c r="D3">
        <v>1</v>
      </c>
      <c r="E3" t="s">
        <v>22</v>
      </c>
      <c r="F3">
        <v>202</v>
      </c>
      <c r="G3" t="s">
        <v>20</v>
      </c>
      <c r="H3" t="s">
        <v>12</v>
      </c>
      <c r="I3">
        <f>D3</f>
        <v>1</v>
      </c>
      <c r="J3">
        <f>F3</f>
        <v>202</v>
      </c>
      <c r="O3" t="e">
        <f>VLOOKUP(Sheet1!#REF!,'Master(Ko Xóa)'!$I$3:$J$147,2,0)</f>
        <v>#REF!</v>
      </c>
      <c r="Q3" t="s">
        <v>99</v>
      </c>
    </row>
    <row r="4" spans="1:17" x14ac:dyDescent="0.25">
      <c r="A4">
        <v>3</v>
      </c>
      <c r="D4">
        <v>2</v>
      </c>
      <c r="E4" t="s">
        <v>23</v>
      </c>
      <c r="F4">
        <v>291</v>
      </c>
      <c r="G4" t="s">
        <v>24</v>
      </c>
      <c r="H4" t="s">
        <v>21</v>
      </c>
      <c r="K4">
        <f>F4</f>
        <v>291</v>
      </c>
      <c r="Q4" t="s">
        <v>100</v>
      </c>
    </row>
    <row r="5" spans="1:17" x14ac:dyDescent="0.25">
      <c r="A5">
        <v>4.0999999999999996</v>
      </c>
      <c r="D5">
        <v>2</v>
      </c>
      <c r="E5" t="s">
        <v>25</v>
      </c>
      <c r="F5">
        <v>292</v>
      </c>
      <c r="G5" t="s">
        <v>24</v>
      </c>
      <c r="H5" t="s">
        <v>12</v>
      </c>
      <c r="I5">
        <f>D5</f>
        <v>2</v>
      </c>
      <c r="J5">
        <f>F5</f>
        <v>292</v>
      </c>
      <c r="Q5" t="s">
        <v>101</v>
      </c>
    </row>
    <row r="6" spans="1:17" x14ac:dyDescent="0.25">
      <c r="A6">
        <v>4.2</v>
      </c>
      <c r="D6">
        <v>3</v>
      </c>
      <c r="E6" t="s">
        <v>26</v>
      </c>
      <c r="F6">
        <v>201</v>
      </c>
      <c r="G6" t="s">
        <v>27</v>
      </c>
      <c r="H6" t="s">
        <v>21</v>
      </c>
      <c r="K6">
        <f>F6</f>
        <v>201</v>
      </c>
    </row>
    <row r="7" spans="1:17" x14ac:dyDescent="0.25">
      <c r="A7">
        <v>5.0999999999999996</v>
      </c>
      <c r="D7">
        <v>3</v>
      </c>
      <c r="E7" t="s">
        <v>28</v>
      </c>
      <c r="F7">
        <v>202</v>
      </c>
      <c r="G7" t="s">
        <v>27</v>
      </c>
      <c r="H7" t="s">
        <v>12</v>
      </c>
      <c r="I7">
        <f>D7</f>
        <v>3</v>
      </c>
      <c r="J7">
        <f>F7</f>
        <v>202</v>
      </c>
    </row>
    <row r="8" spans="1:17" x14ac:dyDescent="0.25">
      <c r="A8">
        <v>5.2</v>
      </c>
      <c r="D8">
        <v>4</v>
      </c>
      <c r="E8" t="s">
        <v>29</v>
      </c>
      <c r="F8">
        <v>201</v>
      </c>
      <c r="G8" t="s">
        <v>30</v>
      </c>
      <c r="H8" t="s">
        <v>21</v>
      </c>
      <c r="K8">
        <f>F8</f>
        <v>201</v>
      </c>
    </row>
    <row r="9" spans="1:17" x14ac:dyDescent="0.25">
      <c r="A9">
        <v>6</v>
      </c>
      <c r="D9">
        <v>4</v>
      </c>
      <c r="E9" t="s">
        <v>31</v>
      </c>
      <c r="F9">
        <v>202</v>
      </c>
      <c r="G9" t="s">
        <v>30</v>
      </c>
      <c r="H9" t="s">
        <v>12</v>
      </c>
      <c r="I9">
        <f>D9</f>
        <v>4</v>
      </c>
      <c r="J9">
        <f>F9</f>
        <v>202</v>
      </c>
    </row>
    <row r="10" spans="1:17" x14ac:dyDescent="0.25">
      <c r="A10">
        <v>7</v>
      </c>
      <c r="D10">
        <v>5</v>
      </c>
      <c r="E10" t="s">
        <v>32</v>
      </c>
      <c r="F10" t="s">
        <v>33</v>
      </c>
      <c r="G10" t="s">
        <v>34</v>
      </c>
      <c r="H10" t="s">
        <v>21</v>
      </c>
      <c r="K10" t="str">
        <f>F10</f>
        <v>mpa</v>
      </c>
    </row>
    <row r="11" spans="1:17" x14ac:dyDescent="0.25">
      <c r="A11">
        <v>8</v>
      </c>
      <c r="D11">
        <v>5</v>
      </c>
      <c r="E11" t="s">
        <v>32</v>
      </c>
      <c r="F11" t="s">
        <v>33</v>
      </c>
      <c r="G11" t="s">
        <v>34</v>
      </c>
      <c r="H11" t="s">
        <v>12</v>
      </c>
      <c r="I11">
        <f>D11</f>
        <v>5</v>
      </c>
      <c r="J11" t="str">
        <f>F11</f>
        <v>mpa</v>
      </c>
    </row>
    <row r="12" spans="1:17" x14ac:dyDescent="0.25">
      <c r="A12">
        <v>9</v>
      </c>
      <c r="D12">
        <v>6</v>
      </c>
      <c r="E12" t="s">
        <v>35</v>
      </c>
      <c r="F12">
        <v>551</v>
      </c>
      <c r="G12" t="s">
        <v>36</v>
      </c>
      <c r="H12" t="s">
        <v>21</v>
      </c>
      <c r="K12">
        <f>F12</f>
        <v>551</v>
      </c>
    </row>
    <row r="13" spans="1:17" x14ac:dyDescent="0.25">
      <c r="A13">
        <v>10</v>
      </c>
      <c r="D13">
        <v>6</v>
      </c>
      <c r="E13" t="s">
        <v>37</v>
      </c>
      <c r="F13">
        <v>552</v>
      </c>
      <c r="G13" t="s">
        <v>36</v>
      </c>
      <c r="H13" t="s">
        <v>12</v>
      </c>
      <c r="I13">
        <f>D13</f>
        <v>6</v>
      </c>
      <c r="J13">
        <f>F13</f>
        <v>552</v>
      </c>
    </row>
    <row r="14" spans="1:17" x14ac:dyDescent="0.25">
      <c r="A14">
        <v>11</v>
      </c>
      <c r="D14">
        <v>7</v>
      </c>
      <c r="E14" t="s">
        <v>38</v>
      </c>
      <c r="F14">
        <v>201</v>
      </c>
      <c r="G14" t="s">
        <v>39</v>
      </c>
      <c r="H14" t="s">
        <v>21</v>
      </c>
      <c r="K14">
        <f>F14</f>
        <v>201</v>
      </c>
    </row>
    <row r="15" spans="1:17" x14ac:dyDescent="0.25">
      <c r="A15">
        <v>12</v>
      </c>
      <c r="D15">
        <v>7</v>
      </c>
      <c r="E15" t="s">
        <v>40</v>
      </c>
      <c r="F15">
        <v>202</v>
      </c>
      <c r="G15" t="s">
        <v>39</v>
      </c>
      <c r="H15" t="s">
        <v>12</v>
      </c>
      <c r="I15">
        <f>D15</f>
        <v>7</v>
      </c>
      <c r="J15">
        <f>F15</f>
        <v>202</v>
      </c>
    </row>
    <row r="16" spans="1:17" x14ac:dyDescent="0.25">
      <c r="A16">
        <v>13.1</v>
      </c>
      <c r="D16">
        <v>8</v>
      </c>
      <c r="E16" t="s">
        <v>41</v>
      </c>
      <c r="F16">
        <v>201</v>
      </c>
      <c r="G16" t="s">
        <v>42</v>
      </c>
      <c r="H16" t="s">
        <v>21</v>
      </c>
      <c r="K16">
        <f>F16</f>
        <v>201</v>
      </c>
    </row>
    <row r="17" spans="1:11" x14ac:dyDescent="0.25">
      <c r="A17">
        <v>13.2</v>
      </c>
      <c r="D17">
        <v>8</v>
      </c>
      <c r="E17" t="s">
        <v>43</v>
      </c>
      <c r="F17">
        <v>202</v>
      </c>
      <c r="G17" t="s">
        <v>42</v>
      </c>
      <c r="H17" t="s">
        <v>12</v>
      </c>
      <c r="I17">
        <f>D17</f>
        <v>8</v>
      </c>
      <c r="J17">
        <f>F17</f>
        <v>202</v>
      </c>
    </row>
    <row r="18" spans="1:11" x14ac:dyDescent="0.25">
      <c r="A18">
        <v>13.3</v>
      </c>
      <c r="D18">
        <v>9</v>
      </c>
      <c r="E18" t="s">
        <v>44</v>
      </c>
      <c r="F18">
        <v>201</v>
      </c>
      <c r="G18" t="s">
        <v>45</v>
      </c>
      <c r="H18" t="s">
        <v>21</v>
      </c>
      <c r="K18">
        <f>F18</f>
        <v>201</v>
      </c>
    </row>
    <row r="19" spans="1:11" x14ac:dyDescent="0.25">
      <c r="A19">
        <v>13.4</v>
      </c>
      <c r="D19">
        <v>9</v>
      </c>
      <c r="E19" t="s">
        <v>46</v>
      </c>
      <c r="F19">
        <v>202</v>
      </c>
      <c r="G19" t="s">
        <v>45</v>
      </c>
      <c r="H19" t="s">
        <v>12</v>
      </c>
      <c r="I19">
        <f>D19</f>
        <v>9</v>
      </c>
      <c r="J19">
        <f>F19</f>
        <v>202</v>
      </c>
    </row>
    <row r="20" spans="1:11" x14ac:dyDescent="0.25">
      <c r="A20">
        <v>14</v>
      </c>
      <c r="D20">
        <v>10</v>
      </c>
      <c r="E20" t="s">
        <v>47</v>
      </c>
      <c r="F20">
        <v>201</v>
      </c>
      <c r="G20" t="s">
        <v>48</v>
      </c>
      <c r="H20" t="s">
        <v>21</v>
      </c>
      <c r="K20">
        <f>F20</f>
        <v>201</v>
      </c>
    </row>
    <row r="21" spans="1:11" x14ac:dyDescent="0.25">
      <c r="A21">
        <v>15.1</v>
      </c>
      <c r="D21">
        <v>10</v>
      </c>
      <c r="E21" t="s">
        <v>49</v>
      </c>
      <c r="F21">
        <v>202</v>
      </c>
      <c r="G21" t="s">
        <v>48</v>
      </c>
      <c r="H21" t="s">
        <v>12</v>
      </c>
      <c r="I21">
        <f>D21</f>
        <v>10</v>
      </c>
      <c r="J21">
        <f>F21</f>
        <v>202</v>
      </c>
    </row>
    <row r="22" spans="1:11" x14ac:dyDescent="0.25">
      <c r="A22">
        <v>15.2</v>
      </c>
      <c r="D22">
        <v>11</v>
      </c>
      <c r="E22" t="s">
        <v>50</v>
      </c>
      <c r="F22">
        <v>201</v>
      </c>
      <c r="G22" t="s">
        <v>51</v>
      </c>
      <c r="H22" t="s">
        <v>21</v>
      </c>
      <c r="K22">
        <f>F22</f>
        <v>201</v>
      </c>
    </row>
    <row r="23" spans="1:11" x14ac:dyDescent="0.25">
      <c r="A23">
        <v>16.100000000000001</v>
      </c>
      <c r="D23">
        <v>11</v>
      </c>
      <c r="E23" t="s">
        <v>52</v>
      </c>
      <c r="F23">
        <v>202</v>
      </c>
      <c r="G23" t="s">
        <v>51</v>
      </c>
      <c r="H23" t="s">
        <v>12</v>
      </c>
      <c r="I23">
        <f>D23</f>
        <v>11</v>
      </c>
      <c r="J23">
        <f>F23</f>
        <v>202</v>
      </c>
    </row>
    <row r="24" spans="1:11" x14ac:dyDescent="0.25">
      <c r="A24">
        <v>16.2</v>
      </c>
      <c r="D24">
        <v>12</v>
      </c>
      <c r="E24" t="s">
        <v>53</v>
      </c>
      <c r="F24">
        <v>201</v>
      </c>
      <c r="G24" t="s">
        <v>54</v>
      </c>
      <c r="H24" t="s">
        <v>21</v>
      </c>
      <c r="K24">
        <f>F24</f>
        <v>201</v>
      </c>
    </row>
    <row r="25" spans="1:11" x14ac:dyDescent="0.25">
      <c r="A25">
        <v>17.100000000000001</v>
      </c>
      <c r="D25">
        <v>12</v>
      </c>
      <c r="E25" t="s">
        <v>55</v>
      </c>
      <c r="F25">
        <v>202</v>
      </c>
      <c r="G25" t="s">
        <v>54</v>
      </c>
      <c r="H25" t="s">
        <v>12</v>
      </c>
      <c r="I25">
        <f>D25</f>
        <v>12</v>
      </c>
      <c r="J25">
        <f>F25</f>
        <v>202</v>
      </c>
    </row>
    <row r="26" spans="1:11" x14ac:dyDescent="0.25">
      <c r="A26">
        <v>17.2</v>
      </c>
      <c r="D26">
        <v>13</v>
      </c>
      <c r="E26" t="s">
        <v>56</v>
      </c>
      <c r="F26">
        <v>201</v>
      </c>
      <c r="G26" t="s">
        <v>57</v>
      </c>
      <c r="H26" t="s">
        <v>21</v>
      </c>
      <c r="K26">
        <f>F26</f>
        <v>201</v>
      </c>
    </row>
    <row r="27" spans="1:11" x14ac:dyDescent="0.25">
      <c r="A27">
        <v>18.100000000000001</v>
      </c>
      <c r="D27">
        <v>13</v>
      </c>
      <c r="E27" t="s">
        <v>58</v>
      </c>
      <c r="F27">
        <v>202</v>
      </c>
      <c r="G27" t="s">
        <v>57</v>
      </c>
      <c r="H27" t="s">
        <v>12</v>
      </c>
      <c r="I27">
        <f>D27</f>
        <v>13</v>
      </c>
      <c r="J27">
        <f>F27</f>
        <v>202</v>
      </c>
    </row>
    <row r="28" spans="1:11" x14ac:dyDescent="0.25">
      <c r="A28">
        <v>18.2</v>
      </c>
      <c r="D28">
        <v>14</v>
      </c>
      <c r="E28" t="s">
        <v>59</v>
      </c>
      <c r="F28">
        <v>201</v>
      </c>
      <c r="G28" t="s">
        <v>60</v>
      </c>
      <c r="H28" t="s">
        <v>21</v>
      </c>
      <c r="K28">
        <f>F28</f>
        <v>201</v>
      </c>
    </row>
    <row r="29" spans="1:11" x14ac:dyDescent="0.25">
      <c r="A29">
        <v>19</v>
      </c>
      <c r="D29">
        <v>14</v>
      </c>
      <c r="E29" t="s">
        <v>61</v>
      </c>
      <c r="F29">
        <v>202</v>
      </c>
      <c r="G29" t="s">
        <v>60</v>
      </c>
      <c r="H29" t="s">
        <v>12</v>
      </c>
      <c r="I29">
        <f>D29</f>
        <v>14</v>
      </c>
      <c r="J29">
        <f>F29</f>
        <v>202</v>
      </c>
    </row>
    <row r="30" spans="1:11" x14ac:dyDescent="0.25">
      <c r="A30">
        <v>20</v>
      </c>
      <c r="D30">
        <v>15</v>
      </c>
      <c r="E30" t="s">
        <v>62</v>
      </c>
      <c r="F30">
        <v>201</v>
      </c>
      <c r="G30" t="s">
        <v>63</v>
      </c>
      <c r="H30" t="s">
        <v>21</v>
      </c>
      <c r="K30">
        <f>F30</f>
        <v>201</v>
      </c>
    </row>
    <row r="31" spans="1:11" x14ac:dyDescent="0.25">
      <c r="A31">
        <v>21</v>
      </c>
      <c r="D31">
        <v>15</v>
      </c>
      <c r="E31" t="s">
        <v>64</v>
      </c>
      <c r="F31">
        <v>202</v>
      </c>
      <c r="G31" t="s">
        <v>63</v>
      </c>
      <c r="H31" t="s">
        <v>12</v>
      </c>
      <c r="I31">
        <f>D31</f>
        <v>15</v>
      </c>
      <c r="J31">
        <f>F31</f>
        <v>202</v>
      </c>
    </row>
    <row r="32" spans="1:11" x14ac:dyDescent="0.25">
      <c r="A32">
        <v>22</v>
      </c>
      <c r="D32">
        <v>16</v>
      </c>
      <c r="E32" t="s">
        <v>65</v>
      </c>
      <c r="F32">
        <v>201</v>
      </c>
      <c r="G32" t="s">
        <v>66</v>
      </c>
      <c r="H32" t="s">
        <v>21</v>
      </c>
      <c r="K32">
        <f>F32</f>
        <v>201</v>
      </c>
    </row>
    <row r="33" spans="1:11" x14ac:dyDescent="0.25">
      <c r="A33">
        <v>23</v>
      </c>
      <c r="D33">
        <v>16</v>
      </c>
      <c r="E33" t="s">
        <v>67</v>
      </c>
      <c r="F33">
        <v>202</v>
      </c>
      <c r="G33" t="s">
        <v>66</v>
      </c>
      <c r="H33" t="s">
        <v>12</v>
      </c>
      <c r="I33">
        <f>D33</f>
        <v>16</v>
      </c>
      <c r="J33">
        <f>F33</f>
        <v>202</v>
      </c>
    </row>
    <row r="34" spans="1:11" x14ac:dyDescent="0.25">
      <c r="A34">
        <v>24</v>
      </c>
      <c r="D34">
        <v>16</v>
      </c>
      <c r="E34" t="s">
        <v>68</v>
      </c>
      <c r="F34">
        <v>201</v>
      </c>
      <c r="G34" t="s">
        <v>66</v>
      </c>
      <c r="H34" t="s">
        <v>21</v>
      </c>
      <c r="K34">
        <f>F34</f>
        <v>201</v>
      </c>
    </row>
    <row r="35" spans="1:11" x14ac:dyDescent="0.25">
      <c r="D35">
        <v>17</v>
      </c>
      <c r="E35" t="s">
        <v>69</v>
      </c>
      <c r="F35">
        <v>701</v>
      </c>
      <c r="G35" t="s">
        <v>70</v>
      </c>
      <c r="H35" t="s">
        <v>12</v>
      </c>
      <c r="I35">
        <f>D35</f>
        <v>17</v>
      </c>
      <c r="J35">
        <f>F35</f>
        <v>701</v>
      </c>
    </row>
    <row r="36" spans="1:11" x14ac:dyDescent="0.25">
      <c r="D36">
        <v>17</v>
      </c>
      <c r="E36" t="s">
        <v>71</v>
      </c>
      <c r="F36">
        <v>702</v>
      </c>
      <c r="G36" t="s">
        <v>70</v>
      </c>
      <c r="H36" t="s">
        <v>21</v>
      </c>
      <c r="K36">
        <f>F36</f>
        <v>702</v>
      </c>
    </row>
    <row r="37" spans="1:11" x14ac:dyDescent="0.25">
      <c r="D37">
        <v>18</v>
      </c>
      <c r="E37" t="s">
        <v>72</v>
      </c>
      <c r="F37">
        <v>701</v>
      </c>
      <c r="G37" t="s">
        <v>73</v>
      </c>
      <c r="H37" t="s">
        <v>12</v>
      </c>
      <c r="I37">
        <f>D37</f>
        <v>18</v>
      </c>
      <c r="J37">
        <f>F37</f>
        <v>701</v>
      </c>
    </row>
    <row r="38" spans="1:11" x14ac:dyDescent="0.25">
      <c r="D38">
        <v>18</v>
      </c>
      <c r="E38" t="s">
        <v>74</v>
      </c>
      <c r="F38">
        <v>702</v>
      </c>
      <c r="G38" t="s">
        <v>73</v>
      </c>
      <c r="H38" t="s">
        <v>21</v>
      </c>
      <c r="K38">
        <f t="shared" ref="K38:K39" si="0">F38</f>
        <v>702</v>
      </c>
    </row>
    <row r="39" spans="1:11" x14ac:dyDescent="0.25">
      <c r="D39">
        <v>19</v>
      </c>
      <c r="E39" t="s">
        <v>75</v>
      </c>
      <c r="F39">
        <v>555</v>
      </c>
      <c r="G39" t="s">
        <v>76</v>
      </c>
      <c r="H39" t="s">
        <v>21</v>
      </c>
      <c r="K39">
        <f t="shared" si="0"/>
        <v>555</v>
      </c>
    </row>
    <row r="40" spans="1:11" x14ac:dyDescent="0.25">
      <c r="D40">
        <v>19</v>
      </c>
      <c r="E40" t="s">
        <v>77</v>
      </c>
      <c r="F40">
        <v>556</v>
      </c>
      <c r="G40" t="s">
        <v>76</v>
      </c>
      <c r="H40" t="s">
        <v>12</v>
      </c>
      <c r="I40">
        <f>D40</f>
        <v>19</v>
      </c>
      <c r="J40">
        <f>F40</f>
        <v>556</v>
      </c>
    </row>
    <row r="41" spans="1:11" x14ac:dyDescent="0.25">
      <c r="D41">
        <v>20</v>
      </c>
      <c r="E41" t="s">
        <v>78</v>
      </c>
      <c r="F41">
        <v>555</v>
      </c>
      <c r="G41" t="s">
        <v>79</v>
      </c>
      <c r="H41" t="s">
        <v>21</v>
      </c>
      <c r="K41">
        <f>F41</f>
        <v>555</v>
      </c>
    </row>
    <row r="42" spans="1:11" x14ac:dyDescent="0.25">
      <c r="D42">
        <v>20</v>
      </c>
      <c r="E42" t="s">
        <v>80</v>
      </c>
      <c r="F42">
        <v>556</v>
      </c>
      <c r="G42" t="s">
        <v>79</v>
      </c>
      <c r="H42" t="s">
        <v>12</v>
      </c>
      <c r="I42">
        <f>D42</f>
        <v>20</v>
      </c>
      <c r="J42">
        <f>F42</f>
        <v>556</v>
      </c>
    </row>
    <row r="43" spans="1:11" x14ac:dyDescent="0.25">
      <c r="D43">
        <v>21</v>
      </c>
      <c r="E43" t="s">
        <v>81</v>
      </c>
      <c r="F43">
        <v>201</v>
      </c>
      <c r="G43" t="s">
        <v>82</v>
      </c>
      <c r="H43" t="s">
        <v>21</v>
      </c>
      <c r="K43">
        <f>F43</f>
        <v>201</v>
      </c>
    </row>
    <row r="44" spans="1:11" x14ac:dyDescent="0.25">
      <c r="D44">
        <v>21</v>
      </c>
      <c r="E44" t="s">
        <v>83</v>
      </c>
      <c r="F44">
        <v>202</v>
      </c>
      <c r="G44" t="s">
        <v>82</v>
      </c>
      <c r="H44" t="s">
        <v>12</v>
      </c>
      <c r="I44">
        <f>D44</f>
        <v>21</v>
      </c>
      <c r="J44">
        <f>F44</f>
        <v>202</v>
      </c>
    </row>
    <row r="45" spans="1:11" x14ac:dyDescent="0.25">
      <c r="D45">
        <v>22</v>
      </c>
      <c r="E45" t="s">
        <v>84</v>
      </c>
      <c r="F45">
        <v>201</v>
      </c>
      <c r="G45" t="s">
        <v>85</v>
      </c>
      <c r="H45" t="s">
        <v>21</v>
      </c>
      <c r="K45">
        <f>F45</f>
        <v>201</v>
      </c>
    </row>
    <row r="46" spans="1:11" x14ac:dyDescent="0.25">
      <c r="D46">
        <v>22</v>
      </c>
      <c r="E46" t="s">
        <v>86</v>
      </c>
      <c r="F46">
        <v>202</v>
      </c>
      <c r="G46" t="s">
        <v>85</v>
      </c>
      <c r="H46" t="s">
        <v>12</v>
      </c>
      <c r="I46">
        <f>D46</f>
        <v>22</v>
      </c>
      <c r="J46">
        <f>F46</f>
        <v>202</v>
      </c>
    </row>
    <row r="47" spans="1:11" x14ac:dyDescent="0.25">
      <c r="D47">
        <v>23</v>
      </c>
      <c r="E47" t="s">
        <v>87</v>
      </c>
      <c r="F47">
        <v>201</v>
      </c>
      <c r="G47" t="s">
        <v>88</v>
      </c>
      <c r="H47" t="s">
        <v>21</v>
      </c>
      <c r="K47">
        <f>F47</f>
        <v>201</v>
      </c>
    </row>
    <row r="48" spans="1:11" x14ac:dyDescent="0.25">
      <c r="D48">
        <v>23</v>
      </c>
      <c r="E48" t="s">
        <v>89</v>
      </c>
      <c r="F48">
        <v>202</v>
      </c>
      <c r="G48" t="s">
        <v>88</v>
      </c>
      <c r="H48" t="s">
        <v>12</v>
      </c>
      <c r="I48">
        <f>D48</f>
        <v>23</v>
      </c>
      <c r="J48">
        <f>F48</f>
        <v>202</v>
      </c>
    </row>
    <row r="49" spans="4:11" x14ac:dyDescent="0.25">
      <c r="D49">
        <v>25</v>
      </c>
      <c r="E49" t="s">
        <v>90</v>
      </c>
      <c r="F49">
        <v>559</v>
      </c>
      <c r="G49" t="s">
        <v>91</v>
      </c>
      <c r="H49" t="s">
        <v>21</v>
      </c>
      <c r="K49">
        <f>F49</f>
        <v>559</v>
      </c>
    </row>
    <row r="50" spans="4:11" x14ac:dyDescent="0.25">
      <c r="D50">
        <v>25</v>
      </c>
      <c r="E50" t="s">
        <v>92</v>
      </c>
      <c r="F50">
        <v>560</v>
      </c>
      <c r="G50" t="s">
        <v>91</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2026-03-27T04:24:38Z</dcterms:modified>
</cp:coreProperties>
</file>