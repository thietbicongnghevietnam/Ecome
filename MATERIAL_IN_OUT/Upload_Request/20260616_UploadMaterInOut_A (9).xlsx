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70Q7332\Downloads\"/>
    </mc:Choice>
  </mc:AlternateContent>
  <xr:revisionPtr revIDLastSave="0" documentId="13_ncr:1_{1BC4804B-2AA9-4AB6-90E6-197E38A6AB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Master(Ko Xóa)" sheetId="2" r:id="rId2"/>
  </sheets>
  <definedNames>
    <definedName name="_xlnm._FilterDatabase" localSheetId="1" hidden="1">'Master(Ko Xóa)'!$A$1:$H$50</definedName>
    <definedName name="_xlnm._FilterDatabase" localSheetId="0" hidden="1">Sheet1!$A$1:$R$2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NHU_Minh</author>
  </authors>
  <commentList>
    <comment ref="C1" authorId="0" shapeId="0" xr:uid="{A8EC6788-2305-4CEE-BB97-0FE3B4E58EC2}">
      <text>
        <r>
          <rPr>
            <b/>
            <sz val="9"/>
            <color indexed="81"/>
            <rFont val="Tahoma"/>
            <charset val="1"/>
          </rPr>
          <t>NGUYEN NHU_Minh:</t>
        </r>
        <r>
          <rPr>
            <sz val="9"/>
            <color indexed="81"/>
            <rFont val="Tahoma"/>
            <charset val="1"/>
          </rPr>
          <t xml:space="preserve">
Bộ phận tự điền</t>
        </r>
      </text>
    </comment>
    <comment ref="F1" authorId="0" shapeId="0" xr:uid="{9BF479D2-CB8A-481D-AF24-AF1C5700A377}">
      <text>
        <r>
          <rPr>
            <b/>
            <sz val="9"/>
            <color indexed="81"/>
            <rFont val="Tahoma"/>
            <charset val="1"/>
          </rPr>
          <t>NGUYEN NHU_Minh:</t>
        </r>
        <r>
          <rPr>
            <sz val="9"/>
            <color indexed="81"/>
            <rFont val="Tahoma"/>
            <charset val="1"/>
          </rPr>
          <t xml:space="preserve">
Bộ phận bắt buộc phải điền</t>
        </r>
      </text>
    </comment>
    <comment ref="L1" authorId="0" shapeId="0" xr:uid="{6C093821-3E40-4812-A057-7C64E5C662EA}">
      <text>
        <r>
          <rPr>
            <b/>
            <sz val="9"/>
            <color indexed="81"/>
            <rFont val="Tahoma"/>
            <charset val="1"/>
          </rPr>
          <t>NGUYEN NHU_Minh: Bộ phận tự điền</t>
        </r>
      </text>
    </comment>
    <comment ref="M1" authorId="0" shapeId="0" xr:uid="{6124359F-64FB-4EE1-8ED9-A0E0DFD9A9E3}">
      <text>
        <r>
          <rPr>
            <b/>
            <sz val="9"/>
            <color indexed="81"/>
            <rFont val="Tahoma"/>
            <charset val="1"/>
          </rPr>
          <t>NGUYEN NHU_Minh:</t>
        </r>
        <r>
          <rPr>
            <sz val="9"/>
            <color indexed="81"/>
            <rFont val="Tahoma"/>
            <charset val="1"/>
          </rPr>
          <t xml:space="preserve">
Bắt buộc phải nhập</t>
        </r>
      </text>
    </comment>
    <comment ref="S1" authorId="0" shapeId="0" xr:uid="{13B94D4D-3BCD-42E5-A0CF-AE30242ECCC8}">
      <text>
        <r>
          <rPr>
            <b/>
            <sz val="9"/>
            <color indexed="81"/>
            <rFont val="Tahoma"/>
          </rPr>
          <t>NGUYEN NHU_Minh:</t>
        </r>
        <r>
          <rPr>
            <sz val="9"/>
            <color indexed="81"/>
            <rFont val="Tahoma"/>
          </rPr>
          <t xml:space="preserve">
bắt buộc nhập cho Type SAP cho bộ phận PMS</t>
        </r>
      </text>
    </comment>
  </commentList>
</comments>
</file>

<file path=xl/sharedStrings.xml><?xml version="1.0" encoding="utf-8"?>
<sst xmlns="http://schemas.openxmlformats.org/spreadsheetml/2006/main" count="103" uniqueCount="42">
  <si>
    <t>Sloc</t>
  </si>
  <si>
    <t>Material</t>
  </si>
  <si>
    <t>TypeRQ</t>
  </si>
  <si>
    <t>Mvtype</t>
  </si>
  <si>
    <t>Plant</t>
  </si>
  <si>
    <t>CostCenter</t>
  </si>
  <si>
    <t>Qty</t>
  </si>
  <si>
    <t>VendorCode</t>
  </si>
  <si>
    <t>Note</t>
  </si>
  <si>
    <t>ActualPrice</t>
  </si>
  <si>
    <t>MVContent</t>
  </si>
  <si>
    <t>RQ_Reset</t>
  </si>
  <si>
    <t>CountryofOrigin</t>
  </si>
  <si>
    <t>ItemDecription</t>
  </si>
  <si>
    <t>TypeID</t>
  </si>
  <si>
    <t>Roh_Halb</t>
  </si>
  <si>
    <t>Halb</t>
  </si>
  <si>
    <t>STprice</t>
  </si>
  <si>
    <t>NameCode</t>
  </si>
  <si>
    <t>Reason</t>
  </si>
  <si>
    <t>TypeSapPMS</t>
  </si>
  <si>
    <t>Sub</t>
  </si>
  <si>
    <t>Other</t>
  </si>
  <si>
    <t>Scrap</t>
  </si>
  <si>
    <t>Sloc98</t>
  </si>
  <si>
    <t>PNBX1426ZA1MA15/V1</t>
  </si>
  <si>
    <t>PNKV1037ZD1MA92/V2</t>
  </si>
  <si>
    <t>PNDG1102ZB/V2</t>
  </si>
  <si>
    <t>PNKE1264ZB/V2</t>
  </si>
  <si>
    <t>PNKE1265ZB/V2</t>
  </si>
  <si>
    <t>PNKE1266ZB/V2</t>
  </si>
  <si>
    <t>PNKE1267ZA/V2</t>
  </si>
  <si>
    <t>PNMH1255ZB/V2</t>
  </si>
  <si>
    <t>PNMH1262ZB/V2</t>
  </si>
  <si>
    <t>PNKM1682UB1/AS</t>
  </si>
  <si>
    <t>PNKM1682WC3/AS</t>
  </si>
  <si>
    <t>MA6000</t>
  </si>
  <si>
    <t>COS_DOORPHONE</t>
  </si>
  <si>
    <t>For Production Use</t>
  </si>
  <si>
    <t>VR01</t>
  </si>
  <si>
    <t>11A0</t>
  </si>
  <si>
    <t>ROH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</si>
</sst>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9"/>
      <color indexed="81"/>
      <name val="Tahoma"/>
    </font>
    <font>
      <b/>
      <sz val="9"/>
      <color indexed="81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0" fillId="2" borderId="0" xfId="0" applyFill="1" applyAlignment="1">
      <alignment vertical="center" wrapText="1"/>
    </xf>
    <xf numFmtId="0" fontId="2" fillId="0" borderId="0" xfId="0" applyFont="1" applyAlignment="1">
      <alignment horizontal="center" wrapText="1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I2" sqref="I2:I6"/>
    </sheetView>
  </sheetViews>
  <sheetFormatPr defaultRowHeight="14.4" x14ac:dyDescent="0.3"/>
  <cols>
    <col min="1" max="1" width="9.5546875" customWidth="1"/>
    <col min="2" max="2" width="20.44140625" bestFit="1" customWidth="1"/>
    <col min="3" max="3" width="11.109375" customWidth="1"/>
    <col min="4" max="4" width="8.88671875" style="10"/>
    <col min="7" max="7" width="11" customWidth="1"/>
    <col min="9" max="9" width="13.6640625" customWidth="1"/>
    <col min="10" max="10" width="7.6640625" customWidth="1"/>
    <col min="11" max="11" width="11.44140625" customWidth="1"/>
    <col min="12" max="13" width="18.6640625" customWidth="1"/>
    <col min="14" max="14" width="11.88671875" customWidth="1"/>
    <col min="15" max="15" width="7.109375" customWidth="1"/>
    <col min="16" max="16" width="17.6640625" customWidth="1"/>
    <col min="17" max="17" width="18.109375" customWidth="1"/>
    <col min="18" max="18" width="15.33203125" customWidth="1"/>
    <col min="19" max="19" width="14.6640625" customWidth="1"/>
  </cols>
  <sheetData>
    <row r="1" spans="1:19" ht="33.75" customHeight="1" x14ac:dyDescent="0.3">
      <c r="A1" s="3" t="s">
        <v>2</v>
      </c>
      <c r="B1" s="3" t="s">
        <v>1</v>
      </c>
      <c r="C1" s="6" t="s">
        <v>15</v>
      </c>
      <c r="D1" s="8" t="s">
        <v>0</v>
      </c>
      <c r="E1" s="3" t="s">
        <v>6</v>
      </c>
      <c r="F1" s="6" t="s">
        <v>17</v>
      </c>
      <c r="G1" s="3" t="s">
        <v>9</v>
      </c>
      <c r="H1" s="3" t="s">
        <v>3</v>
      </c>
      <c r="I1" s="3" t="s">
        <v>10</v>
      </c>
      <c r="J1" s="3" t="s">
        <v>4</v>
      </c>
      <c r="K1" s="3" t="s">
        <v>5</v>
      </c>
      <c r="L1" s="6" t="s">
        <v>18</v>
      </c>
      <c r="M1" s="6" t="s">
        <v>19</v>
      </c>
      <c r="N1" s="3" t="s">
        <v>7</v>
      </c>
      <c r="O1" s="3" t="s">
        <v>8</v>
      </c>
      <c r="P1" s="3" t="s">
        <v>12</v>
      </c>
      <c r="Q1" s="3" t="s">
        <v>13</v>
      </c>
      <c r="R1" s="4" t="s">
        <v>11</v>
      </c>
      <c r="S1" s="4" t="s">
        <v>20</v>
      </c>
    </row>
    <row r="2" spans="1:19" ht="30" customHeight="1" x14ac:dyDescent="0.3">
      <c r="A2" s="5">
        <v>1</v>
      </c>
      <c r="B2" s="2" t="s">
        <v>25</v>
      </c>
      <c r="C2" s="7" t="s">
        <v>41</v>
      </c>
      <c r="D2" s="9">
        <v>1110</v>
      </c>
      <c r="E2">
        <v>2</v>
      </c>
      <c r="F2">
        <v>0.20760000000000001</v>
      </c>
      <c r="G2">
        <v>0.20760000000000001</v>
      </c>
      <c r="H2" s="1">
        <v>201</v>
      </c>
      <c r="I2" s="1" t="e">
        <f>VLOOKUP(H2,'Master(Ko Xóa)'!$F$2:$H$158,3,0)</f>
        <v>#N/A</v>
      </c>
      <c r="J2" s="2" t="s">
        <v>39</v>
      </c>
      <c r="K2" t="s">
        <v>36</v>
      </c>
      <c r="L2" s="1" t="s">
        <v>37</v>
      </c>
      <c r="M2" s="1" t="s">
        <v>38</v>
      </c>
      <c r="R2" s="1"/>
      <c r="S2" t="s">
        <v>22</v>
      </c>
    </row>
    <row r="3" spans="1:19" x14ac:dyDescent="0.3">
      <c r="A3" s="5">
        <v>1</v>
      </c>
      <c r="B3" t="s">
        <v>26</v>
      </c>
      <c r="C3" s="7" t="s">
        <v>41</v>
      </c>
      <c r="D3" s="9">
        <v>1110</v>
      </c>
      <c r="E3">
        <v>2</v>
      </c>
      <c r="F3">
        <v>1.6303599999999998</v>
      </c>
      <c r="G3">
        <v>1.6303599999999998</v>
      </c>
      <c r="H3" s="1">
        <v>201</v>
      </c>
      <c r="I3" s="1" t="e">
        <f>VLOOKUP(H3,'Master(Ko Xóa)'!$F$2:$H$158,3,0)</f>
        <v>#N/A</v>
      </c>
      <c r="J3" s="2" t="s">
        <v>39</v>
      </c>
      <c r="K3" t="s">
        <v>36</v>
      </c>
      <c r="L3" s="1" t="s">
        <v>37</v>
      </c>
      <c r="M3" s="1" t="s">
        <v>38</v>
      </c>
      <c r="S3" t="s">
        <v>22</v>
      </c>
    </row>
    <row r="4" spans="1:19" x14ac:dyDescent="0.3">
      <c r="A4" s="5">
        <v>1</v>
      </c>
      <c r="B4" t="s">
        <v>27</v>
      </c>
      <c r="C4" s="7" t="s">
        <v>41</v>
      </c>
      <c r="D4" s="10">
        <v>1120</v>
      </c>
      <c r="E4">
        <v>1</v>
      </c>
      <c r="F4">
        <v>0.80820000000000003</v>
      </c>
      <c r="G4">
        <v>0.80820000000000003</v>
      </c>
      <c r="H4" s="1">
        <v>201</v>
      </c>
      <c r="I4" s="1" t="e">
        <f>VLOOKUP(H4,'Master(Ko Xóa)'!$F$2:$H$158,3,0)</f>
        <v>#N/A</v>
      </c>
      <c r="J4" s="2" t="s">
        <v>39</v>
      </c>
      <c r="K4" t="s">
        <v>36</v>
      </c>
      <c r="L4" s="1" t="s">
        <v>37</v>
      </c>
      <c r="M4" s="1" t="s">
        <v>38</v>
      </c>
      <c r="S4" t="s">
        <v>22</v>
      </c>
    </row>
    <row r="5" spans="1:19" x14ac:dyDescent="0.3">
      <c r="A5" s="5">
        <v>1</v>
      </c>
      <c r="B5" t="s">
        <v>28</v>
      </c>
      <c r="C5" s="7" t="s">
        <v>41</v>
      </c>
      <c r="D5" s="10">
        <v>1120</v>
      </c>
      <c r="E5">
        <v>1</v>
      </c>
      <c r="F5">
        <v>1.6844000000000001</v>
      </c>
      <c r="G5">
        <v>1.6844000000000001</v>
      </c>
      <c r="H5" s="1">
        <v>201</v>
      </c>
      <c r="I5" s="1" t="e">
        <f>VLOOKUP(H5,'Master(Ko Xóa)'!$F$2:$H$158,3,0)</f>
        <v>#N/A</v>
      </c>
      <c r="J5" s="2" t="s">
        <v>39</v>
      </c>
      <c r="K5" t="s">
        <v>36</v>
      </c>
      <c r="L5" s="1" t="s">
        <v>37</v>
      </c>
      <c r="M5" s="1" t="s">
        <v>38</v>
      </c>
      <c r="S5" t="s">
        <v>22</v>
      </c>
    </row>
    <row r="6" spans="1:19" x14ac:dyDescent="0.3">
      <c r="A6" s="5">
        <v>1</v>
      </c>
      <c r="B6" t="s">
        <v>29</v>
      </c>
      <c r="C6" s="7" t="s">
        <v>41</v>
      </c>
      <c r="D6" s="10">
        <v>1110</v>
      </c>
      <c r="E6">
        <v>1</v>
      </c>
      <c r="F6">
        <v>2.0541999999999998</v>
      </c>
      <c r="G6">
        <v>2.0541999999999998</v>
      </c>
      <c r="H6" s="1">
        <v>201</v>
      </c>
      <c r="I6" s="1" t="e">
        <f>VLOOKUP(H6,'Master(Ko Xóa)'!$F$2:$H$158,3,0)</f>
        <v>#N/A</v>
      </c>
      <c r="J6" s="2" t="s">
        <v>39</v>
      </c>
      <c r="K6" t="s">
        <v>36</v>
      </c>
      <c r="L6" s="1" t="s">
        <v>37</v>
      </c>
      <c r="M6" s="1" t="s">
        <v>38</v>
      </c>
      <c r="S6" t="s">
        <v>22</v>
      </c>
    </row>
    <row r="7" spans="1:19" x14ac:dyDescent="0.3">
      <c r="A7" s="5">
        <v>1</v>
      </c>
      <c r="B7" t="s">
        <v>30</v>
      </c>
      <c r="C7" s="7" t="s">
        <v>41</v>
      </c>
      <c r="D7" s="10">
        <v>1120</v>
      </c>
      <c r="E7">
        <v>1</v>
      </c>
      <c r="F7">
        <v>1.1567000000000001</v>
      </c>
      <c r="G7">
        <v>1.1567000000000001</v>
      </c>
      <c r="H7" s="1">
        <v>201</v>
      </c>
      <c r="I7" s="1" t="e">
        <f>VLOOKUP(H7,'Master(Ko Xóa)'!$F$2:$H$158,3,0)</f>
        <v>#N/A</v>
      </c>
      <c r="J7" s="2" t="s">
        <v>39</v>
      </c>
      <c r="K7" t="s">
        <v>36</v>
      </c>
      <c r="L7" s="1" t="s">
        <v>37</v>
      </c>
      <c r="M7" s="1" t="s">
        <v>38</v>
      </c>
      <c r="S7" t="s">
        <v>22</v>
      </c>
    </row>
    <row r="8" spans="1:19" x14ac:dyDescent="0.3">
      <c r="A8" s="5">
        <v>1</v>
      </c>
      <c r="B8" t="s">
        <v>31</v>
      </c>
      <c r="C8" s="7" t="s">
        <v>41</v>
      </c>
      <c r="D8" s="10">
        <v>1110</v>
      </c>
      <c r="E8">
        <v>1</v>
      </c>
      <c r="F8">
        <v>1.8964000000000001</v>
      </c>
      <c r="G8">
        <v>1.8964000000000001</v>
      </c>
      <c r="H8" s="1">
        <v>201</v>
      </c>
      <c r="I8" s="1" t="e">
        <f>VLOOKUP(H8,'Master(Ko Xóa)'!$F$2:$H$158,3,0)</f>
        <v>#N/A</v>
      </c>
      <c r="J8" s="2" t="s">
        <v>39</v>
      </c>
      <c r="K8" t="s">
        <v>36</v>
      </c>
      <c r="L8" s="1" t="s">
        <v>37</v>
      </c>
      <c r="M8" s="1" t="s">
        <v>38</v>
      </c>
      <c r="S8" t="s">
        <v>22</v>
      </c>
    </row>
    <row r="9" spans="1:19" x14ac:dyDescent="0.3">
      <c r="A9" s="5">
        <v>1</v>
      </c>
      <c r="B9" t="s">
        <v>32</v>
      </c>
      <c r="C9" s="7" t="s">
        <v>41</v>
      </c>
      <c r="D9" s="10">
        <v>1120</v>
      </c>
      <c r="E9">
        <v>1</v>
      </c>
      <c r="F9">
        <v>0.52700000000000002</v>
      </c>
      <c r="G9">
        <v>0.52700000000000002</v>
      </c>
      <c r="H9" s="1">
        <v>201</v>
      </c>
      <c r="I9" s="1" t="e">
        <f>VLOOKUP(H9,'Master(Ko Xóa)'!$F$2:$H$158,3,0)</f>
        <v>#N/A</v>
      </c>
      <c r="J9" s="2" t="s">
        <v>39</v>
      </c>
      <c r="K9" t="s">
        <v>36</v>
      </c>
      <c r="L9" s="1" t="s">
        <v>37</v>
      </c>
      <c r="M9" s="1" t="s">
        <v>38</v>
      </c>
      <c r="S9" t="s">
        <v>22</v>
      </c>
    </row>
    <row r="10" spans="1:19" x14ac:dyDescent="0.3">
      <c r="A10" s="5">
        <v>1</v>
      </c>
      <c r="B10" t="s">
        <v>33</v>
      </c>
      <c r="C10" s="7" t="s">
        <v>41</v>
      </c>
      <c r="D10" s="10">
        <v>1120</v>
      </c>
      <c r="E10">
        <v>1</v>
      </c>
      <c r="F10">
        <v>1.1927000000000001</v>
      </c>
      <c r="G10">
        <v>1.1927000000000001</v>
      </c>
      <c r="H10" s="1">
        <v>201</v>
      </c>
      <c r="I10" s="1" t="e">
        <f>VLOOKUP(H10,'Master(Ko Xóa)'!$F$2:$H$158,3,0)</f>
        <v>#N/A</v>
      </c>
      <c r="J10" s="2" t="s">
        <v>39</v>
      </c>
      <c r="K10" t="s">
        <v>36</v>
      </c>
      <c r="L10" s="1" t="s">
        <v>37</v>
      </c>
      <c r="M10" s="1" t="s">
        <v>38</v>
      </c>
      <c r="S10" t="s">
        <v>22</v>
      </c>
    </row>
    <row r="11" spans="1:19" x14ac:dyDescent="0.3">
      <c r="A11" s="5">
        <v>1</v>
      </c>
      <c r="B11" t="s">
        <v>34</v>
      </c>
      <c r="C11" s="7" t="s">
        <v>16</v>
      </c>
      <c r="D11" s="10" t="s">
        <v>40</v>
      </c>
      <c r="E11">
        <v>2</v>
      </c>
      <c r="F11">
        <v>0.21004999999999999</v>
      </c>
      <c r="G11">
        <v>0.21004999999999999</v>
      </c>
      <c r="H11" s="1">
        <v>201</v>
      </c>
      <c r="I11" s="1" t="e">
        <f>VLOOKUP(H11,'Master(Ko Xóa)'!$F$2:$H$158,3,0)</f>
        <v>#N/A</v>
      </c>
      <c r="J11" s="2" t="s">
        <v>39</v>
      </c>
      <c r="K11" t="s">
        <v>36</v>
      </c>
      <c r="L11" s="1" t="s">
        <v>37</v>
      </c>
      <c r="M11" s="1" t="s">
        <v>38</v>
      </c>
      <c r="S11" t="s">
        <v>22</v>
      </c>
    </row>
    <row r="12" spans="1:19" x14ac:dyDescent="0.3">
      <c r="A12" s="5">
        <v>1</v>
      </c>
      <c r="B12" t="s">
        <v>35</v>
      </c>
      <c r="C12" s="7" t="s">
        <v>16</v>
      </c>
      <c r="D12" s="10" t="s">
        <v>40</v>
      </c>
      <c r="E12">
        <v>2</v>
      </c>
      <c r="F12">
        <v>0.20188999999999999</v>
      </c>
      <c r="G12">
        <v>0.20188999999999999</v>
      </c>
      <c r="H12" s="1">
        <v>201</v>
      </c>
      <c r="I12" s="1" t="e">
        <f>VLOOKUP(H12,'Master(Ko Xóa)'!$F$2:$H$158,3,0)</f>
        <v>#N/A</v>
      </c>
      <c r="J12" s="2" t="s">
        <v>39</v>
      </c>
      <c r="K12" t="s">
        <v>36</v>
      </c>
      <c r="L12" s="1" t="s">
        <v>37</v>
      </c>
      <c r="M12" s="1" t="s">
        <v>38</v>
      </c>
      <c r="S12" t="s">
        <v>22</v>
      </c>
    </row>
  </sheetData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'Master(Ko Xóa)'!$A$2:$A$34</xm:f>
          </x14:formula1>
          <xm:sqref>A2:A12</xm:sqref>
        </x14:dataValidation>
        <x14:dataValidation type="list" allowBlank="1" showInputMessage="1" showErrorMessage="1" xr:uid="{10327712-73EA-4ECE-85DB-CC1BD40E26B7}">
          <x14:formula1>
            <xm:f>'Master(Ko Xóa)'!$Q$2:$Q$5</xm:f>
          </x14:formula1>
          <xm:sqref>S2:S12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"/>
  <sheetViews>
    <sheetView workbookViewId="0">
      <selection activeCell="M8" sqref="M8"/>
    </sheetView>
  </sheetViews>
  <sheetFormatPr defaultColWidth="11.109375" defaultRowHeight="14.4" x14ac:dyDescent="0.3"/>
  <cols>
    <col min="5" max="5" width="45.5546875" customWidth="1"/>
    <col min="6" max="6" width="4.88671875" bestFit="1" customWidth="1"/>
    <col min="7" max="7" width="27" customWidth="1"/>
  </cols>
  <sheetData>
    <row r="1" spans="1:17" x14ac:dyDescent="0.3">
      <c r="A1" t="s">
        <v>14</v>
      </c>
    </row>
    <row r="2" spans="1:17" x14ac:dyDescent="0.3">
      <c r="A2">
        <v>1</v>
      </c>
      <c r="Q2" t="s">
        <v>21</v>
      </c>
    </row>
    <row r="3" spans="1:17" x14ac:dyDescent="0.3">
      <c r="A3">
        <v>2</v>
      </c>
      <c r="Q3" t="s">
        <v>22</v>
      </c>
    </row>
    <row r="4" spans="1:17" x14ac:dyDescent="0.3">
      <c r="A4">
        <v>3</v>
      </c>
      <c r="Q4" t="s">
        <v>23</v>
      </c>
    </row>
    <row r="5" spans="1:17" x14ac:dyDescent="0.3">
      <c r="A5">
        <v>4.0999999999999996</v>
      </c>
      <c r="Q5" t="s">
        <v>24</v>
      </c>
    </row>
    <row r="6" spans="1:17" x14ac:dyDescent="0.3">
      <c r="A6">
        <v>4.2</v>
      </c>
    </row>
    <row r="7" spans="1:17" x14ac:dyDescent="0.3">
      <c r="A7">
        <v>5.0999999999999996</v>
      </c>
    </row>
    <row r="8" spans="1:17" x14ac:dyDescent="0.3">
      <c r="A8">
        <v>5.2</v>
      </c>
    </row>
    <row r="9" spans="1:17" x14ac:dyDescent="0.3">
      <c r="A9">
        <v>6</v>
      </c>
    </row>
    <row r="10" spans="1:17" x14ac:dyDescent="0.3">
      <c r="A10">
        <v>7</v>
      </c>
    </row>
    <row r="11" spans="1:17" x14ac:dyDescent="0.3">
      <c r="A11">
        <v>8</v>
      </c>
    </row>
    <row r="12" spans="1:17" x14ac:dyDescent="0.3">
      <c r="A12">
        <v>9</v>
      </c>
    </row>
    <row r="13" spans="1:17" x14ac:dyDescent="0.3">
      <c r="A13">
        <v>10</v>
      </c>
    </row>
    <row r="14" spans="1:17" x14ac:dyDescent="0.3">
      <c r="A14">
        <v>11</v>
      </c>
    </row>
    <row r="15" spans="1:17" x14ac:dyDescent="0.3">
      <c r="A15">
        <v>12</v>
      </c>
    </row>
    <row r="16" spans="1:17" x14ac:dyDescent="0.3">
      <c r="A16">
        <v>13.1</v>
      </c>
    </row>
    <row r="17" spans="1:1" x14ac:dyDescent="0.3">
      <c r="A17">
        <v>13.2</v>
      </c>
    </row>
    <row r="18" spans="1:1" x14ac:dyDescent="0.3">
      <c r="A18">
        <v>13.3</v>
      </c>
    </row>
    <row r="19" spans="1:1" x14ac:dyDescent="0.3">
      <c r="A19">
        <v>13.4</v>
      </c>
    </row>
    <row r="20" spans="1:1" x14ac:dyDescent="0.3">
      <c r="A20">
        <v>14</v>
      </c>
    </row>
    <row r="21" spans="1:1" x14ac:dyDescent="0.3">
      <c r="A21">
        <v>15.1</v>
      </c>
    </row>
    <row r="22" spans="1:1" x14ac:dyDescent="0.3">
      <c r="A22">
        <v>15.2</v>
      </c>
    </row>
    <row r="23" spans="1:1" x14ac:dyDescent="0.3">
      <c r="A23">
        <v>16.100000000000001</v>
      </c>
    </row>
    <row r="24" spans="1:1" x14ac:dyDescent="0.3">
      <c r="A24">
        <v>16.2</v>
      </c>
    </row>
    <row r="25" spans="1:1" x14ac:dyDescent="0.3">
      <c r="A25">
        <v>17.100000000000001</v>
      </c>
    </row>
    <row r="26" spans="1:1" x14ac:dyDescent="0.3">
      <c r="A26">
        <v>17.2</v>
      </c>
    </row>
    <row r="27" spans="1:1" x14ac:dyDescent="0.3">
      <c r="A27">
        <v>18.100000000000001</v>
      </c>
    </row>
    <row r="28" spans="1:1" x14ac:dyDescent="0.3">
      <c r="A28">
        <v>18.2</v>
      </c>
    </row>
    <row r="29" spans="1:1" x14ac:dyDescent="0.3">
      <c r="A29">
        <v>19</v>
      </c>
    </row>
    <row r="30" spans="1:1" x14ac:dyDescent="0.3">
      <c r="A30">
        <v>20</v>
      </c>
    </row>
    <row r="31" spans="1:1" x14ac:dyDescent="0.3">
      <c r="A31">
        <v>21</v>
      </c>
    </row>
    <row r="32" spans="1:1" x14ac:dyDescent="0.3">
      <c r="A32">
        <v>22</v>
      </c>
    </row>
    <row r="33" spans="1:1" x14ac:dyDescent="0.3">
      <c r="A33">
        <v>23</v>
      </c>
    </row>
    <row r="34" spans="1:1" x14ac:dyDescent="0.3">
      <c r="A34">
        <v>24</v>
      </c>
    </row>
  </sheetData>
  <autoFilter ref="A1:H50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Master(Ko Xóa)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THI_Dao</dc:creator>
  <cp:lastModifiedBy>KIEN KIEU TRUNG</cp:lastModifiedBy>
  <dcterms:created xsi:type="dcterms:W3CDTF">2021-07-20T07:38:07Z</dcterms:created>
  <dcterms:modified xsi:type="dcterms:W3CDTF">2026-06-16T07:52:43Z</dcterms:modified>
</cp:coreProperties>
</file>