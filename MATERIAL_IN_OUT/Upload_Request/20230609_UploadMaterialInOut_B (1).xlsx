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70F7203\Downloads\"/>
    </mc:Choice>
  </mc:AlternateContent>
  <xr:revisionPtr revIDLastSave="0" documentId="13_ncr:1_{188E7136-1BF8-41C9-8D76-57002539C71B}" xr6:coauthVersionLast="47" xr6:coauthVersionMax="47" xr10:uidLastSave="{00000000-0000-0000-0000-000000000000}"/>
  <bookViews>
    <workbookView xWindow="28740" yWindow="-60" windowWidth="28920" windowHeight="1560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K49" i="2"/>
  <c r="K47" i="2"/>
  <c r="K45" i="2"/>
  <c r="K43" i="2"/>
  <c r="K41" i="2"/>
  <c r="K39" i="2"/>
  <c r="K38" i="2"/>
  <c r="K36" i="2"/>
  <c r="K34" i="2"/>
  <c r="K32" i="2"/>
  <c r="K30" i="2"/>
  <c r="K28" i="2"/>
  <c r="K26" i="2"/>
  <c r="K24" i="2"/>
  <c r="K22" i="2"/>
  <c r="K20" i="2"/>
  <c r="K18" i="2"/>
  <c r="O2" i="2" s="1"/>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 r="O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s>
  <commentList>
    <comment ref="A1" authorId="0" shapeId="0" xr:uid="{00000000-0006-0000-0000-000001000000}">
      <text>
        <r>
          <rPr>
            <sz val="9"/>
            <color indexed="81"/>
            <rFont val="Tahoma"/>
            <family val="2"/>
          </rPr>
          <t xml:space="preserve">B1: Chọn TypeRQ theo droplist.
B2:Ctrl +D copy tớ dòng tiếp theo
</t>
        </r>
      </text>
    </comment>
    <comment ref="N1" authorId="0" shapeId="0" xr:uid="{00000000-0006-0000-0000-000002000000}">
      <text>
        <r>
          <rPr>
            <sz val="9"/>
            <color indexed="81"/>
            <rFont val="Tahoma"/>
            <family val="2"/>
          </rPr>
          <t xml:space="preserve">Input RQ cần RQ Reset
</t>
        </r>
      </text>
    </comment>
    <comment ref="F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<sst xmlns="http://schemas.openxmlformats.org/spreadsheetml/2006/main" count="175" uniqueCount="99">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</sst>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0" fillId="2" borderId="0" xfId="0" applyFill="1"/>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workbookViewId="0">
      <selection activeCell="I7" sqref="I7"/>
    </sheetView>
  </sheetViews>
  <sheetFormatPr defaultRowHeight="15" x14ac:dyDescent="0.25"/>
  <cols>
    <col min="1" max="1" width="9.5703125" customWidth="1"/>
    <col min="2" max="2" width="26.7109375" customWidth="1"/>
    <col min="5" max="5" width="11" customWidth="1"/>
    <col min="7" max="7" width="13.7109375" customWidth="1"/>
    <col min="8" max="8" width="15.7109375" customWidth="1"/>
    <col min="9" max="9" width="18.7109375" customWidth="1"/>
    <col min="10" max="10" width="11.85546875" customWidth="1"/>
    <col min="12" max="13" width="21" customWidth="1"/>
    <col min="14" max="14" width="15.28515625" customWidth="1"/>
  </cols>
  <sheetData>
    <row r="1" spans="1:14" ht="33.75" customHeight="1" x14ac:dyDescent="0.25">
      <c r="A1" s="4" t="s">
        <v>2</v>
      </c>
      <c r="B1" s="4" t="s">
        <v>1</v>
      </c>
      <c r="C1" s="4" t="s">
        <v>0</v>
      </c>
      <c r="D1" s="4" t="s">
        <v>6</v>
      </c>
      <c r="E1" s="4" t="s">
        <v>10</v>
      </c>
      <c r="F1" s="4" t="s">
        <v>3</v>
      </c>
      <c r="G1" s="4" t="s">
        <v>11</v>
      </c>
      <c r="H1" s="4" t="s">
        <v>4</v>
      </c>
      <c r="I1" s="4" t="s">
        <v>5</v>
      </c>
      <c r="J1" s="4" t="s">
        <v>8</v>
      </c>
      <c r="K1" s="4" t="s">
        <v>9</v>
      </c>
      <c r="L1" s="4" t="s">
        <v>17</v>
      </c>
      <c r="M1" s="4" t="s">
        <v>18</v>
      </c>
      <c r="N1" s="5" t="s">
        <v>12</v>
      </c>
    </row>
    <row r="2" spans="1:14" ht="30" customHeight="1" x14ac:dyDescent="0.25">
      <c r="A2" s="2">
        <v>2</v>
      </c>
      <c r="B2" s="3" t="s">
        <v>14</v>
      </c>
      <c r="C2" s="1">
        <v>2020</v>
      </c>
      <c r="D2">
        <v>5</v>
      </c>
      <c r="E2">
        <v>5.1566453999999998E-2</v>
      </c>
      <c r="F2" s="2">
        <v>291</v>
      </c>
      <c r="G2" s="2" t="str">
        <f>VLOOKUP(F2,'Master(Ko Xóa)'!$F$2:$H$158,3,0)</f>
        <v>Out</v>
      </c>
      <c r="H2" s="3" t="s">
        <v>15</v>
      </c>
      <c r="I2" t="s">
        <v>7</v>
      </c>
      <c r="J2" t="s">
        <v>16</v>
      </c>
      <c r="L2" t="s">
        <v>19</v>
      </c>
      <c r="M2" t="s">
        <v>20</v>
      </c>
      <c r="N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F2</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291</v>
      </c>
    </row>
    <row r="3" spans="1:15" x14ac:dyDescent="0.25">
      <c r="A3">
        <v>2</v>
      </c>
      <c r="D3">
        <v>1</v>
      </c>
      <c r="E3" t="s">
        <v>28</v>
      </c>
      <c r="F3">
        <v>202</v>
      </c>
      <c r="G3" t="s">
        <v>26</v>
      </c>
      <c r="H3" t="s">
        <v>13</v>
      </c>
      <c r="I3">
        <f>D3</f>
        <v>1</v>
      </c>
      <c r="J3">
        <f>F3</f>
        <v>202</v>
      </c>
      <c r="O3">
        <f>VLOOKUP(Sheet1!A2,'Master(Ko Xóa)'!$I$3:$J$147,2,0)</f>
        <v>292</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TRAN THI HONG_Hoa</cp:lastModifiedBy>
  <dcterms:created xsi:type="dcterms:W3CDTF">2021-07-20T07:38:07Z</dcterms:created>
  <dcterms:modified xsi:type="dcterms:W3CDTF">2023-06-09T08:56:26Z</dcterms:modified>
</cp:coreProperties>
</file>